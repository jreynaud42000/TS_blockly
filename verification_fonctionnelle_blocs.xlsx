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reyn\OneDrive\Documents\claude\blockly_ts\"/>
    </mc:Choice>
  </mc:AlternateContent>
  <xr:revisionPtr revIDLastSave="0" documentId="13_ncr:1_{A6E8F1A4-51BE-4531-B648-108C49D3735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Blocs" sheetId="2" r:id="rId2"/>
    <sheet name="Résumé" sheetId="3" r:id="rId3"/>
  </sheets>
  <definedNames>
    <definedName name="_xlnm._FilterDatabase" localSheetId="1" hidden="1">Blocs!$A$1:$I$170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" i="3" l="1"/>
  <c r="E17" i="3"/>
  <c r="D17" i="3"/>
  <c r="C17" i="3"/>
  <c r="B17" i="3"/>
  <c r="F16" i="3"/>
  <c r="E16" i="3"/>
  <c r="D16" i="3"/>
  <c r="C16" i="3"/>
  <c r="B16" i="3"/>
  <c r="F15" i="3"/>
  <c r="E15" i="3"/>
  <c r="D15" i="3"/>
  <c r="C15" i="3"/>
  <c r="B15" i="3"/>
  <c r="F14" i="3"/>
  <c r="E14" i="3"/>
  <c r="D14" i="3"/>
  <c r="C14" i="3"/>
  <c r="B14" i="3"/>
  <c r="F13" i="3"/>
  <c r="E13" i="3"/>
  <c r="D13" i="3"/>
  <c r="C13" i="3"/>
  <c r="B13" i="3"/>
  <c r="F12" i="3"/>
  <c r="E12" i="3"/>
  <c r="D12" i="3"/>
  <c r="C12" i="3"/>
  <c r="B12" i="3"/>
  <c r="F11" i="3"/>
  <c r="E11" i="3"/>
  <c r="D11" i="3"/>
  <c r="C11" i="3"/>
  <c r="B11" i="3"/>
  <c r="F10" i="3"/>
  <c r="E10" i="3"/>
  <c r="D10" i="3"/>
  <c r="C10" i="3"/>
  <c r="B10" i="3"/>
  <c r="F9" i="3"/>
  <c r="E9" i="3"/>
  <c r="D9" i="3"/>
  <c r="C9" i="3"/>
  <c r="B9" i="3"/>
  <c r="F8" i="3"/>
  <c r="E8" i="3"/>
  <c r="D8" i="3"/>
  <c r="C8" i="3"/>
  <c r="B8" i="3"/>
  <c r="F7" i="3"/>
  <c r="E7" i="3"/>
  <c r="D7" i="3"/>
  <c r="C7" i="3"/>
  <c r="B7" i="3"/>
  <c r="F6" i="3"/>
  <c r="E6" i="3"/>
  <c r="D6" i="3"/>
  <c r="C6" i="3"/>
  <c r="B6" i="3"/>
  <c r="F5" i="3"/>
  <c r="E5" i="3"/>
  <c r="D5" i="3"/>
  <c r="C5" i="3"/>
  <c r="B5" i="3"/>
  <c r="F4" i="3"/>
  <c r="E4" i="3"/>
  <c r="D4" i="3"/>
  <c r="C4" i="3"/>
  <c r="B4" i="3"/>
  <c r="B18" i="3" s="1"/>
  <c r="D18" i="3" l="1"/>
  <c r="E18" i="3"/>
  <c r="F18" i="3"/>
  <c r="C18" i="3"/>
</calcChain>
</file>

<file path=xl/sharedStrings.xml><?xml version="1.0" encoding="utf-8"?>
<sst xmlns="http://schemas.openxmlformats.org/spreadsheetml/2006/main" count="955" uniqueCount="398">
  <si>
    <t>Suivi de vérification fonctionnelle des blocs</t>
  </si>
  <si>
    <t>Programmation micro:bit V2 — interface Blockly</t>
  </si>
  <si>
    <t>Objectif</t>
  </si>
  <si>
    <t>Vérifier, bloc par bloc, que chaque bloc créé pour ce projet fonctionne réellement — aussi bien dans le simulateur du navigateur que sur une vraie carte micro:bit (avec le module Grove ou le robot correspondant si besoin).</t>
  </si>
  <si>
    <t>Contenu</t>
  </si>
  <si>
    <t>L'onglet "Blocs" liste les 169 blocs créés pour ce projet (catégorie, sous-catégorie, libellé tel qu'affiché dans la boîte à outils, et identifiant technique interne). Les blocs standards de Blockly (Logique, Boucles natives, Texte, Maths de base, Variables, Fonctions) ne sont pas listés : ce ne sont pas des blocs créés pour ce projet.</t>
  </si>
  <si>
    <t>Comment remplir</t>
  </si>
  <si>
    <t>Pour chaque bloc, choisir une valeur dans les colonnes "Fonctionne en simulateur" et "Fonctionne sur carte réelle" (menu déroulant : À tester / Oui / Non / Partiel), puis renseigner la date, la personne qui a testé, et une remarque en cas de problème (comportement observé, message d'erreur, condition qui déclenche le bug...).</t>
  </si>
  <si>
    <t>Onglet Résumé</t>
  </si>
  <si>
    <t>Calcule automatiquement, pour chaque catégorie, le nombre de blocs, le nombre déjà testé et le nombre fonctionnel — se met à jour tout seul au fur et à mesure du remplissage de l'onglet "Blocs".</t>
  </si>
  <si>
    <t>Exemple de ligne remplie (onglet "Blocs", à titre d'illustration) :</t>
  </si>
  <si>
    <t>Catégorie</t>
  </si>
  <si>
    <t>Sous-catégorie</t>
  </si>
  <si>
    <t>Bloc</t>
  </si>
  <si>
    <t>Identifiant technique</t>
  </si>
  <si>
    <t>Fonctionne en simulateur</t>
  </si>
  <si>
    <t>Fonctionne sur carte réelle</t>
  </si>
  <si>
    <t>Date du test</t>
  </si>
  <si>
    <t>Testé par</t>
  </si>
  <si>
    <t>Remarques</t>
  </si>
  <si>
    <t>Temps</t>
  </si>
  <si>
    <t>attendre</t>
  </si>
  <si>
    <t>attendre_temps</t>
  </si>
  <si>
    <t>Oui</t>
  </si>
  <si>
    <t>2026-09-24</t>
  </si>
  <si>
    <t>J. Reynald</t>
  </si>
  <si>
    <t>RAS, testé avec des délais de 100 ms à 5 s</t>
  </si>
  <si>
    <t>À tester</t>
  </si>
  <si>
    <t>attendre jusqu'à</t>
  </si>
  <si>
    <t>attendre_jusqua</t>
  </si>
  <si>
    <t>répéter toutes les ... h ... min ... s</t>
  </si>
  <si>
    <t>repeter_toutes_les</t>
  </si>
  <si>
    <t>remettre le chronomètre à 0</t>
  </si>
  <si>
    <t>reset_chrono</t>
  </si>
  <si>
    <t>valeur du chronomètre en</t>
  </si>
  <si>
    <t>valeur_chrono</t>
  </si>
  <si>
    <t>Affichage</t>
  </si>
  <si>
    <t>afficher</t>
  </si>
  <si>
    <t>afficher_valeur</t>
  </si>
  <si>
    <t>faire défiler</t>
  </si>
  <si>
    <t>faire_defiler</t>
  </si>
  <si>
    <t>afficher l'icône</t>
  </si>
  <si>
    <t>afficher_icone</t>
  </si>
  <si>
    <t>afficher l'image</t>
  </si>
  <si>
    <t>afficher_image_matrice</t>
  </si>
  <si>
    <t>effacer l'écran</t>
  </si>
  <si>
    <t>effacer_ecran</t>
  </si>
  <si>
    <t>Entrées/Sorties</t>
  </si>
  <si>
    <t>si le bouton ... est appuyé alors</t>
  </si>
  <si>
    <t>si_bouton_appuye</t>
  </si>
  <si>
    <t>si LOGO est touché alors</t>
  </si>
  <si>
    <t>si_logo_touche</t>
  </si>
  <si>
    <t>si secoué alors</t>
  </si>
  <si>
    <t>si_secoue_alors</t>
  </si>
  <si>
    <t>bouton ... est appuyé</t>
  </si>
  <si>
    <t>bouton_est_appuye</t>
  </si>
  <si>
    <t>le logo est appuyé</t>
  </si>
  <si>
    <t>logo_est_touche</t>
  </si>
  <si>
    <t>nombre de clics du bouton</t>
  </si>
  <si>
    <t>nombre_clics_bouton</t>
  </si>
  <si>
    <t>[Micro:bit] réinitialiser la carte</t>
  </si>
  <si>
    <t>reinitialiser_microbit</t>
  </si>
  <si>
    <t>Capteurs</t>
  </si>
  <si>
    <t>lorsque le bouton ... est pressé</t>
  </si>
  <si>
    <t>lorsque_bouton</t>
  </si>
  <si>
    <t>lorsque</t>
  </si>
  <si>
    <t>lorsque_geste</t>
  </si>
  <si>
    <t>lorsque la broche ... est</t>
  </si>
  <si>
    <t>lorsque_broche</t>
  </si>
  <si>
    <t>lorsque le son ... est detecté</t>
  </si>
  <si>
    <t>lorsque_son_detecte</t>
  </si>
  <si>
    <t>sur le logo</t>
  </si>
  <si>
    <t>lorsque_logo</t>
  </si>
  <si>
    <t>accélération (mg)</t>
  </si>
  <si>
    <t>capteur_acceleration</t>
  </si>
  <si>
    <t>broche ... est pressée</t>
  </si>
  <si>
    <t>broche_est_pressee</t>
  </si>
  <si>
    <t>niveau d'intensité lumineuse</t>
  </si>
  <si>
    <t>capteur_luminosite</t>
  </si>
  <si>
    <t>direction de la boussole (°)</t>
  </si>
  <si>
    <t>capteur_boussole_direction</t>
  </si>
  <si>
    <t>température (° C)</t>
  </si>
  <si>
    <t>capteur_temperature</t>
  </si>
  <si>
    <t>geste ... est actif</t>
  </si>
  <si>
    <t>geste_est_actif</t>
  </si>
  <si>
    <t>niveau sonore</t>
  </si>
  <si>
    <t>micro_intensite_son</t>
  </si>
  <si>
    <t>calibrer la boussole</t>
  </si>
  <si>
    <t>capteur_boussole_calibrer</t>
  </si>
  <si>
    <t>force magnétique (µT)</t>
  </si>
  <si>
    <t>capteur_boussole_force</t>
  </si>
  <si>
    <t>rotation (°)</t>
  </si>
  <si>
    <t>capteur_rotation</t>
  </si>
  <si>
    <t>temps d'exécution</t>
  </si>
  <si>
    <t>temps_execution</t>
  </si>
  <si>
    <t>spécifier la gamme de l'acceleromètre</t>
  </si>
  <si>
    <t>gamme_accelerometre</t>
  </si>
  <si>
    <t>définit le seuil du son ... à</t>
  </si>
  <si>
    <t>micro_definir_seuil</t>
  </si>
  <si>
    <t>Actionneurs (Audio)</t>
  </si>
  <si>
    <t>[Audio] jouer la musique</t>
  </si>
  <si>
    <t>audio_jouer</t>
  </si>
  <si>
    <t>[Audio] arrêter la musique</t>
  </si>
  <si>
    <t>audio_arreter</t>
  </si>
  <si>
    <t>[Music] jouer la mélodie</t>
  </si>
  <si>
    <t>music_jouer_melodie</t>
  </si>
  <si>
    <t>[Speech] dire ... vitesse ... hauteur</t>
  </si>
  <si>
    <t>speech_dire</t>
  </si>
  <si>
    <t>Communication</t>
  </si>
  <si>
    <t>Groupe</t>
  </si>
  <si>
    <t>allumer la radio</t>
  </si>
  <si>
    <t>radio_activer</t>
  </si>
  <si>
    <t>radio : définir le groupe</t>
  </si>
  <si>
    <t>radio_groupe</t>
  </si>
  <si>
    <t>Envoi</t>
  </si>
  <si>
    <t>envoyer le nombre ... par radio</t>
  </si>
  <si>
    <t>radio_envoyer_nombre</t>
  </si>
  <si>
    <t>envoyer la valeur ... = ... par radio</t>
  </si>
  <si>
    <t>radio_envoyer_valeur</t>
  </si>
  <si>
    <t>envoyer msg radio</t>
  </si>
  <si>
    <t>radio_envoyer_texte</t>
  </si>
  <si>
    <t>Réception</t>
  </si>
  <si>
    <t>quand la radio reçoit</t>
  </si>
  <si>
    <t>radio_quand_recu</t>
  </si>
  <si>
    <t>radio :</t>
  </si>
  <si>
    <t>radio_lecture</t>
  </si>
  <si>
    <t>Plus</t>
  </si>
  <si>
    <t>radio : puissance d'émission</t>
  </si>
  <si>
    <t>radio_puissance</t>
  </si>
  <si>
    <t>radio : bande de fréquence</t>
  </si>
  <si>
    <t>radio_canal</t>
  </si>
  <si>
    <t>Servos</t>
  </si>
  <si>
    <t>régler l'angle du servomoteur ... à ... °</t>
  </si>
  <si>
    <t>servo_angle</t>
  </si>
  <si>
    <t>servomoteur ... à rotation continue fonctionne à ... %</t>
  </si>
  <si>
    <t>servo_continu</t>
  </si>
  <si>
    <t>arrêter le servomoteur</t>
  </si>
  <si>
    <t>servo_arreter</t>
  </si>
  <si>
    <t>mettre l'arrêt au neutre du servomoteur ... à</t>
  </si>
  <si>
    <t>servo_arret_neutre</t>
  </si>
  <si>
    <t>définir l'intervalle du servomoteur ... de ... à</t>
  </si>
  <si>
    <t>servo_intervalle</t>
  </si>
  <si>
    <t>régler la largeur d'impulsion du servomoteur ... à ... µs</t>
  </si>
  <si>
    <t>servo_impulsion</t>
  </si>
  <si>
    <t>Maqueen Plus</t>
  </si>
  <si>
    <t>moteur ... à ... (-255 à 255)</t>
  </si>
  <si>
    <t>maqueen_moteur</t>
  </si>
  <si>
    <t>arrêter le moteur</t>
  </si>
  <si>
    <t>maqueen_arreter</t>
  </si>
  <si>
    <t>capteur de ligne ... sur la ligne</t>
  </si>
  <si>
    <t>maqueen_ligne_etat</t>
  </si>
  <si>
    <t>valeur brute du capteur de ligne</t>
  </si>
  <si>
    <t>maqueen_ligne_valeur</t>
  </si>
  <si>
    <t>phare</t>
  </si>
  <si>
    <t>maqueen_phare</t>
  </si>
  <si>
    <t>DEL RGB ... en</t>
  </si>
  <si>
    <t>maqueen_rgb_couleur</t>
  </si>
  <si>
    <t>éteindre les DEL RGB</t>
  </si>
  <si>
    <t>maqueen_rgb_eteindre</t>
  </si>
  <si>
    <t>distance (cm) capteur ultrason Maqueen</t>
  </si>
  <si>
    <t>maqueen_distance</t>
  </si>
  <si>
    <t>Maqueen Plus v3 : vitesse du suiveur de ligne</t>
  </si>
  <si>
    <t>maqueen_v3_vitesse_suivi</t>
  </si>
  <si>
    <t>Maqueen Plus v3 : aux carrefours, avancer</t>
  </si>
  <si>
    <t>maqueen_v3_mode_carrefour</t>
  </si>
  <si>
    <t>Maqueen Plus v3 : aux intersections en T, avancer</t>
  </si>
  <si>
    <t>maqueen_v3_mode_T</t>
  </si>
  <si>
    <t>Maqueen Plus v3 : aux intersections à gauche, avancer</t>
  </si>
  <si>
    <t>maqueen_v3_mode_gauche</t>
  </si>
  <si>
    <t>Maqueen Plus v3 : aux intersections à droite, avancer</t>
  </si>
  <si>
    <t>maqueen_v3_mode_droite</t>
  </si>
  <si>
    <t>Maqueen Plus v3 : ... le suiveur de ligne</t>
  </si>
  <si>
    <t>maqueen_v3_suiveur</t>
  </si>
  <si>
    <t>Maqueen Plus v3 : intersection détectée (code)</t>
  </si>
  <si>
    <t>maqueen_v3_intersection_detectee</t>
  </si>
  <si>
    <t>Maqueen Plus v3 : intersection détectée est ... ?</t>
  </si>
  <si>
    <t>maqueen_v3_intersection_est</t>
  </si>
  <si>
    <t>Maqueen Plus v3 : intensité lumineuse à</t>
  </si>
  <si>
    <t>maqueen_v3_luminosite</t>
  </si>
  <si>
    <t>Maqueen Plus v3 : ... cm ... attendre la fin</t>
  </si>
  <si>
    <t>maqueen_v3_pid_avancer</t>
  </si>
  <si>
    <t>Maqueen Plus v3 : tourner à ... ° ... attendre la fin</t>
  </si>
  <si>
    <t>maqueen_v3_pid_tourner</t>
  </si>
  <si>
    <t>Maqueen Plus v3 : vitesse réelle de la roue ... (cm/s)</t>
  </si>
  <si>
    <t>maqueen_v3_vitesse_reelle</t>
  </si>
  <si>
    <t>Maqueen Plus v3 : arrêter le contrôle PID en cours</t>
  </si>
  <si>
    <t>maqueen_v3_pid_stop</t>
  </si>
  <si>
    <t>Maqueen Plus v3 : DEL de carrosserie ... en</t>
  </si>
  <si>
    <t>maqueen_v3_del_carrosserie</t>
  </si>
  <si>
    <t>Maqueen Plus : connecter le récepteur infrarouge à</t>
  </si>
  <si>
    <t>maqueen_ir_init</t>
  </si>
  <si>
    <t>lorsque la commande ... est reçue par télécommande noire (NEC)</t>
  </si>
  <si>
    <t>lorsque_ir_noire</t>
  </si>
  <si>
    <t>lorsque la commande ... est reçue par télécommande grise Car mp3 (NEC)</t>
  </si>
  <si>
    <t>lorsque_ir_grise</t>
  </si>
  <si>
    <t>Maqueen Plus : décoder le récepteur infrarouge</t>
  </si>
  <si>
    <t>maqueen_ir_decoder</t>
  </si>
  <si>
    <t>Maqueen Plus : code reçu du récepteur infrarouge</t>
  </si>
  <si>
    <t>maqueen_ir_dernier_code</t>
  </si>
  <si>
    <t>Maqueen Lite</t>
  </si>
  <si>
    <t>Maqueen Lite : moteur ... à ... (-255 à 255)</t>
  </si>
  <si>
    <t>maqueenlite_moteur</t>
  </si>
  <si>
    <t>Maqueen Lite : arrêter le moteur</t>
  </si>
  <si>
    <t>maqueenlite_arreter</t>
  </si>
  <si>
    <t>Maqueen Lite : distance (cm) capteur ultrason</t>
  </si>
  <si>
    <t>maqueenlite_distance</t>
  </si>
  <si>
    <t>Maqueen Lite : capteur de ligne ... (0 ou 1)</t>
  </si>
  <si>
    <t>maqueenlite_ligne</t>
  </si>
  <si>
    <t>lorsque le capteur de ligne ... passe à l'état</t>
  </si>
  <si>
    <t>lorsque_maqueenlite_ligne</t>
  </si>
  <si>
    <t>Maqueen Lite : DEL</t>
  </si>
  <si>
    <t>maqueenlite_del</t>
  </si>
  <si>
    <t>Maqueen Lite : servo ... angle ... °</t>
  </si>
  <si>
    <t>maqueenlite_servo</t>
  </si>
  <si>
    <t>Kitrobot v2</t>
  </si>
  <si>
    <t>Kitrobot v2 : servo gauche ... servo droit</t>
  </si>
  <si>
    <t>kitrobot_definir_servos</t>
  </si>
  <si>
    <t>Kitrobot v2 : capteur ultrason sur</t>
  </si>
  <si>
    <t>kitrobot_definir_ultrason</t>
  </si>
  <si>
    <t>Kitrobot v2 : buzzer sur</t>
  </si>
  <si>
    <t>kitrobot_definir_buzzer</t>
  </si>
  <si>
    <t>Kitrobot v2 : capteur de ligne gauche ... droit</t>
  </si>
  <si>
    <t>kitrobot_definir_lignes</t>
  </si>
  <si>
    <t>Kitrobot v2 : ruban RGB sur ... avec ... LED(s)</t>
  </si>
  <si>
    <t>kitrobot_definir_ruban</t>
  </si>
  <si>
    <t>Kitrobot v2 : distance (cm)</t>
  </si>
  <si>
    <t>kitrobot_distance</t>
  </si>
  <si>
    <t>Kitrobot v2 : état du capteur de ligne</t>
  </si>
  <si>
    <t>kitrobot_ligne</t>
  </si>
  <si>
    <t>Kitrobot v2 : ... à la vitesse ... %</t>
  </si>
  <si>
    <t>kitrobot_avancer</t>
  </si>
  <si>
    <t>Kitrobot v2 : pivoter ... vitesse ... %</t>
  </si>
  <si>
    <t>kitrobot_pivoter</t>
  </si>
  <si>
    <t>Kitrobot v2 : contrôler le moteur ... direction ... vitesse ... %</t>
  </si>
  <si>
    <t>kitrobot_moteur</t>
  </si>
  <si>
    <t>Kitrobot v2 : arrêter le moteur</t>
  </si>
  <si>
    <t>kitrobot_arreter_moteur</t>
  </si>
  <si>
    <t>Kitrobot v2 : avancer d'une case</t>
  </si>
  <si>
    <t>kitrobot_case_avant</t>
  </si>
  <si>
    <t>Kitrobot v2 : reculer d'une case</t>
  </si>
  <si>
    <t>kitrobot_case_arriere</t>
  </si>
  <si>
    <t>Kitrobot v2 : pivoter à gauche</t>
  </si>
  <si>
    <t>kitrobot_pivoter_gauche</t>
  </si>
  <si>
    <t>Kitrobot v2 : pivoter à droite</t>
  </si>
  <si>
    <t>kitrobot_pivoter_droite</t>
  </si>
  <si>
    <t>Kitrobot v2 : arrêter le robot</t>
  </si>
  <si>
    <t>kitrobot_arreter</t>
  </si>
  <si>
    <t>Kitrobot v2 : buzzer à la fréquence ... Hz pendant ... ms</t>
  </si>
  <si>
    <t>kitrobot_buzzer</t>
  </si>
  <si>
    <t>Kitrobot v2 : clignoter le robot</t>
  </si>
  <si>
    <t>kitrobot_clignoter</t>
  </si>
  <si>
    <t>Kitrobot v2 : LED RGB ... à</t>
  </si>
  <si>
    <t>kitrobot_del_couleur</t>
  </si>
  <si>
    <t>Kitrobot v2 : LED RGB en ... à R ... V ... B</t>
  </si>
  <si>
    <t>kitrobot_del_rgb</t>
  </si>
  <si>
    <t>Kitrobot v2 : Arc-en-ciel</t>
  </si>
  <si>
    <t>kitrobot_arcenciel</t>
  </si>
  <si>
    <t>LiDAR</t>
  </si>
  <si>
    <t>LiDAR ... : configurer la taille</t>
  </si>
  <si>
    <t>lidar_initialiser</t>
  </si>
  <si>
    <t>LiDAR ... : distance mesurée au point x ... y ... (mm)</t>
  </si>
  <si>
    <t>lidar_point</t>
  </si>
  <si>
    <t>LiDAR : configurer la distance d'évitement à ... (mm)</t>
  </si>
  <si>
    <t>lidar_distance_evitement</t>
  </si>
  <si>
    <t>LiDAR : acquérir les données d'évitement</t>
  </si>
  <si>
    <t>lidar_acquerir</t>
  </si>
  <si>
    <t>LiDAR : signal d'urgence activé ?</t>
  </si>
  <si>
    <t>lidar_urgence</t>
  </si>
  <si>
    <t>LiDAR : direction à suivre pour éviter l'obstacle</t>
  </si>
  <si>
    <t>lidar_direction</t>
  </si>
  <si>
    <t>LiDAR : direction à suivre est ... ?</t>
  </si>
  <si>
    <t>lidar_direction_est</t>
  </si>
  <si>
    <t>LiDAR : distance (en cm) de l'obstacle à ... texte</t>
  </si>
  <si>
    <t>lidar_distance_cote</t>
  </si>
  <si>
    <t>Grove</t>
  </si>
  <si>
    <t>LED</t>
  </si>
  <si>
    <t>[LED] contrôler la LED à ... sur la broche</t>
  </si>
  <si>
    <t>grove_led_etat</t>
  </si>
  <si>
    <t>[LED] régler la luminosité à ... sur la broche</t>
  </si>
  <si>
    <t>grove_led_luminosite</t>
  </si>
  <si>
    <t>Ruban RGB (WS2813)</t>
  </si>
  <si>
    <t>définir le ruban RGB sur ... avec ... LED(s)</t>
  </si>
  <si>
    <t>grove_ruban_definir</t>
  </si>
  <si>
    <t>colorer tout le ruban en</t>
  </si>
  <si>
    <t>grove_ruban_couleur</t>
  </si>
  <si>
    <t>éteindre le ruban</t>
  </si>
  <si>
    <t>grove_ruban_effacer</t>
  </si>
  <si>
    <t>colorer la LED n° ... en</t>
  </si>
  <si>
    <t>grove_ruban_couleur_index</t>
  </si>
  <si>
    <t>éteindre la LED n°</t>
  </si>
  <si>
    <t>grove_ruban_effacer_index</t>
  </si>
  <si>
    <t>colorer tout le ruban en R ... V ... B</t>
  </si>
  <si>
    <t>grove_ruban_perso</t>
  </si>
  <si>
    <t>colorer la LED n° ... en R ... V ... B</t>
  </si>
  <si>
    <t>grove_ruban_perso_index</t>
  </si>
  <si>
    <t>luminosité du ruban à ... %</t>
  </si>
  <si>
    <t>grove_ruban_luminosite</t>
  </si>
  <si>
    <t>Afficheur 4 digits</t>
  </si>
  <si>
    <t>définir l'afficheur 4 digits : CLK ... DIO</t>
  </si>
  <si>
    <t>grove_4d_definir</t>
  </si>
  <si>
    <t>afficher le nombre</t>
  </si>
  <si>
    <t>grove_4d_nombre</t>
  </si>
  <si>
    <t>afficher le chiffre ... à la position</t>
  </si>
  <si>
    <t>grove_4d_chiffre</t>
  </si>
  <si>
    <t>les deux points</t>
  </si>
  <si>
    <t>grove_4d_points</t>
  </si>
  <si>
    <t>luminosité de l'afficheur à</t>
  </si>
  <si>
    <t>grove_4d_luminosite</t>
  </si>
  <si>
    <t>effacer l'afficheur</t>
  </si>
  <si>
    <t>grove_4d_effacer</t>
  </si>
  <si>
    <t>Ultrason</t>
  </si>
  <si>
    <t>distance (cm) sur</t>
  </si>
  <si>
    <t>grove_ultrason_cm</t>
  </si>
  <si>
    <t>distance (pouces) sur</t>
  </si>
  <si>
    <t>grove_ultrason_pouces</t>
  </si>
  <si>
    <t>Joystick</t>
  </si>
  <si>
    <t>valeur du joystick sur</t>
  </si>
  <si>
    <t>grove_joystick_valeur</t>
  </si>
  <si>
    <t>joystick X ... Y ... vers</t>
  </si>
  <si>
    <t>grove_joystick_direction</t>
  </si>
  <si>
    <t>bouton du joystick sur ... pressé</t>
  </si>
  <si>
    <t>grove_joystick_bouton</t>
  </si>
  <si>
    <t>Capteur de gestes</t>
  </si>
  <si>
    <t>initialiser le capteur de gestes</t>
  </si>
  <si>
    <t>grove_gestes_init</t>
  </si>
  <si>
    <t>le geste détecté est</t>
  </si>
  <si>
    <t>grove_gestes_est</t>
  </si>
  <si>
    <t>geste détecté</t>
  </si>
  <si>
    <t>grove_gestes_lire</t>
  </si>
  <si>
    <t>Température &amp; humidité</t>
  </si>
  <si>
    <t>initialiser le capteur température &amp; humidité</t>
  </si>
  <si>
    <t>grove_th_init</t>
  </si>
  <si>
    <t xml:space="preserve">capteur T&amp;H : ... définir le </t>
  </si>
  <si>
    <t>grove_th_mesure</t>
  </si>
  <si>
    <t>définir le DHT11 sur</t>
  </si>
  <si>
    <t>grove_dht11_definir</t>
  </si>
  <si>
    <t>DHT11 :</t>
  </si>
  <si>
    <t>grove_dht11_mesure</t>
  </si>
  <si>
    <t>définir le DHT22 sur</t>
  </si>
  <si>
    <t>grove_dht22_definir</t>
  </si>
  <si>
    <t>DHT22 :</t>
  </si>
  <si>
    <t>grove_dht22_mesure</t>
  </si>
  <si>
    <t>Écran LCD 16x2</t>
  </si>
  <si>
    <t>initialiser l'écran LCD 16x2</t>
  </si>
  <si>
    <t>grove_lcd_init</t>
  </si>
  <si>
    <t>LCD : afficher ... en x ... y</t>
  </si>
  <si>
    <t>grove_lcd_texte</t>
  </si>
  <si>
    <t>LCD : effacer</t>
  </si>
  <si>
    <t>grove_lcd_effacer</t>
  </si>
  <si>
    <t>LCD : ... l'affichage</t>
  </si>
  <si>
    <t>grove_lcd_alimenter</t>
  </si>
  <si>
    <t>Capteur de couleur</t>
  </si>
  <si>
    <t>initialiser le capteur de couleur</t>
  </si>
  <si>
    <t>grove_couleur_init</t>
  </si>
  <si>
    <t>capteur de couleur : canal</t>
  </si>
  <si>
    <t>grove_couleur_lire</t>
  </si>
  <si>
    <t>Pilote moteur</t>
  </si>
  <si>
    <t>moteur canal ... vitesse</t>
  </si>
  <si>
    <t>grove_moteur_vitesse</t>
  </si>
  <si>
    <t>le moteur canal</t>
  </si>
  <si>
    <t>grove_moteur_action</t>
  </si>
  <si>
    <t>défaut du moteur canal</t>
  </si>
  <si>
    <t>grove_moteur_defaut</t>
  </si>
  <si>
    <t>CO₂ (SCD30 / SCD41)</t>
  </si>
  <si>
    <t>initialiser le capteur CO₂ SCD30</t>
  </si>
  <si>
    <t>grove_scd30_init</t>
  </si>
  <si>
    <t>SCD30 :</t>
  </si>
  <si>
    <t>grove_scd30_lire</t>
  </si>
  <si>
    <t>initialiser le capteur CO₂ SCD41</t>
  </si>
  <si>
    <t>grove_scd41_init</t>
  </si>
  <si>
    <t>SCD41 :</t>
  </si>
  <si>
    <t>grove_scd41_lire</t>
  </si>
  <si>
    <t>Boucles</t>
  </si>
  <si>
    <t>Au démarrage</t>
  </si>
  <si>
    <t>au_demarrage</t>
  </si>
  <si>
    <t>Répéter indéfiniment</t>
  </si>
  <si>
    <t>boucle_infinie</t>
  </si>
  <si>
    <t>Maths</t>
  </si>
  <si>
    <t>de ... et</t>
  </si>
  <si>
    <t>math_min_max</t>
  </si>
  <si>
    <t>valeur absolue de</t>
  </si>
  <si>
    <t>math_absolue</t>
  </si>
  <si>
    <t>math_racine</t>
  </si>
  <si>
    <t>math_arrondi_custom</t>
  </si>
  <si>
    <t>projeter ... de ... et ... à</t>
  </si>
  <si>
    <t>math_map</t>
  </si>
  <si>
    <t>choisir au hasard vrai ou faux</t>
  </si>
  <si>
    <t>math_random_bool</t>
  </si>
  <si>
    <t>convert ... from</t>
  </si>
  <si>
    <t>math_convert</t>
  </si>
  <si>
    <t>Résumé de la vérification par catégorie</t>
  </si>
  <si>
    <t>Nombre de blocs</t>
  </si>
  <si>
    <t>Testés en simulateur</t>
  </si>
  <si>
    <t>Fonctionnels en simulateur</t>
  </si>
  <si>
    <t>Testés sur carte réelle</t>
  </si>
  <si>
    <t>Fonctionnels sur carte réelle</t>
  </si>
  <si>
    <t>Total</t>
  </si>
  <si>
    <t>moi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</si>
</sst>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Calibri"/>
      <family val="2"/>
      <charset val="1"/>
    </font>
    <font>
      <b/>
      <sz val="16"/>
      <color rgb="FF1F4E78"/>
      <name val="Arial"/>
      <charset val="1"/>
    </font>
    <font>
      <i/>
      <sz val="12"/>
      <color rgb="FF555555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b/>
      <sz val="9"/>
      <color rgb="FFFFFFFF"/>
      <name val="Arial"/>
      <charset val="1"/>
    </font>
    <font>
      <sz val="10"/>
      <name val="Arial"/>
      <charset val="1"/>
    </font>
    <font>
      <b/>
      <sz val="11"/>
      <color rgb="FFFFFFFF"/>
      <name val="Arial"/>
      <charset val="1"/>
    </font>
    <font>
      <b/>
      <sz val="14"/>
      <color rgb="FF1F4E78"/>
      <name val="Arial"/>
      <charset val="1"/>
    </font>
    <font>
      <b/>
      <sz val="1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CE6F1"/>
        <bgColor rgb="FFCFE2F3"/>
      </patternFill>
    </fill>
    <fill>
      <patternFill patternType="solid">
        <fgColor rgb="FFE2EFDA"/>
        <bgColor rgb="FFD9EAD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EAD1DC"/>
        <bgColor rgb="FFF4CCCC"/>
      </patternFill>
    </fill>
    <fill>
      <patternFill patternType="solid">
        <fgColor rgb="FFD9D2E9"/>
        <bgColor rgb="FFEAD1DC"/>
      </patternFill>
    </fill>
    <fill>
      <patternFill patternType="solid">
        <fgColor rgb="FFD0E0E3"/>
        <bgColor rgb="FFCFE2F3"/>
      </patternFill>
    </fill>
    <fill>
      <patternFill patternType="solid">
        <fgColor rgb="FFF4CCCC"/>
        <bgColor rgb="FFEAD1DC"/>
      </patternFill>
    </fill>
    <fill>
      <patternFill patternType="solid">
        <fgColor rgb="FFD9EAD3"/>
        <bgColor rgb="FFE2EFDA"/>
      </patternFill>
    </fill>
    <fill>
      <patternFill patternType="solid">
        <fgColor rgb="FFCFE2F3"/>
        <bgColor rgb="FFD0E0E3"/>
      </patternFill>
    </fill>
    <fill>
      <patternFill patternType="solid">
        <fgColor rgb="FFFFE599"/>
        <bgColor rgb="FFFFF2CC"/>
      </patternFill>
    </fill>
    <fill>
      <patternFill patternType="solid">
        <fgColor rgb="FFC9DAF8"/>
        <bgColor rgb="FFCFE2F3"/>
      </patternFill>
    </fill>
    <fill>
      <patternFill patternType="solid">
        <fgColor rgb="FFF9CB9C"/>
        <bgColor rgb="FFF4CCCC"/>
      </patternFill>
    </fill>
    <fill>
      <patternFill patternType="solid">
        <fgColor rgb="FFB6D7A8"/>
        <bgColor rgb="FFBFBFBF"/>
      </patternFill>
    </fill>
    <fill>
      <patternFill patternType="solid">
        <fgColor rgb="FFF2F2F2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2" borderId="0" xfId="0" applyFont="1" applyFill="1" applyAlignment="1">
      <alignment horizontal="center" vertical="center" wrapText="1"/>
    </xf>
    <xf numFmtId="0" fontId="6" fillId="0" borderId="0" xfId="0" applyFont="1" applyAlignment="1">
      <alignment vertical="top" wrapText="1"/>
    </xf>
    <xf numFmtId="0" fontId="7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6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vertical="center"/>
    </xf>
    <xf numFmtId="0" fontId="6" fillId="14" borderId="1" xfId="0" applyFont="1" applyFill="1" applyBorder="1" applyAlignment="1">
      <alignment vertical="center"/>
    </xf>
    <xf numFmtId="0" fontId="6" fillId="15" borderId="1" xfId="0" applyFont="1" applyFill="1" applyBorder="1" applyAlignment="1">
      <alignment vertical="center"/>
    </xf>
    <xf numFmtId="0" fontId="6" fillId="16" borderId="1" xfId="0" applyFont="1" applyFill="1" applyBorder="1" applyAlignment="1">
      <alignment vertical="center"/>
    </xf>
    <xf numFmtId="0" fontId="9" fillId="0" borderId="1" xfId="0" applyFont="1" applyBorder="1"/>
    <xf numFmtId="0" fontId="6" fillId="0" borderId="1" xfId="0" applyFont="1" applyBorder="1" applyAlignment="1">
      <alignment horizontal="center"/>
    </xf>
    <xf numFmtId="0" fontId="9" fillId="17" borderId="1" xfId="0" applyFont="1" applyFill="1" applyBorder="1"/>
    <xf numFmtId="0" fontId="9" fillId="17" borderId="1" xfId="0" applyFont="1" applyFill="1" applyBorder="1" applyAlignment="1">
      <alignment horizontal="center"/>
    </xf>
    <xf numFmtId="0" fontId="4" fillId="0" borderId="0" xfId="0" applyFont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CF8B9F2B-ED9E-4B91-8BF4-523BA4879FA5}"/>
  </tableStyle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EAD1DC"/>
      <rgbColor rgb="FF993366"/>
      <rgbColor rgb="FFFFF2CC"/>
      <rgbColor rgb="FFE2EFDA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D9EAD3"/>
      <rgbColor rgb="FFFFE599"/>
      <rgbColor rgb="FFB6D7A8"/>
      <rgbColor rgb="FFF4CCCC"/>
      <rgbColor rgb="FFD9D2E9"/>
      <rgbColor rgb="FFF9CB9C"/>
      <rgbColor rgb="FF3366FF"/>
      <rgbColor rgb="FF33CCCC"/>
      <rgbColor rgb="FFCFE2F3"/>
      <rgbColor rgb="FFFCE4D6"/>
      <rgbColor rgb="FFFF9900"/>
      <rgbColor rgb="FFFF6600"/>
      <rgbColor rgb="FF555555"/>
      <rgbColor rgb="FFD0E0E3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1"/>
  <sheetViews>
    <sheetView showGridLines="0" topLeftCell="A13" zoomScaleNormal="100" workbookViewId="0">
      <selection activeCell="B13" sqref="B13:H13"/>
    </sheetView>
  </sheetViews>
  <sheetFormatPr baseColWidth="10" defaultColWidth="8.5546875" defaultRowHeight="14.4" x14ac:dyDescent="0.3"/>
  <cols>
    <col min="1" max="1" width="2" customWidth="1"/>
    <col min="2" max="2" width="20" customWidth="1"/>
    <col min="3" max="9" width="16" customWidth="1"/>
  </cols>
  <sheetData>
    <row r="2" spans="2:8" ht="21" x14ac:dyDescent="0.4">
      <c r="B2" s="1" t="s">
        <v>0</v>
      </c>
    </row>
    <row r="3" spans="2:8" ht="15.6" x14ac:dyDescent="0.3">
      <c r="B3" s="2" t="s">
        <v>1</v>
      </c>
    </row>
    <row r="6" spans="2:8" x14ac:dyDescent="0.3">
      <c r="B6" s="3" t="s">
        <v>2</v>
      </c>
    </row>
    <row r="7" spans="2:8" ht="45" customHeight="1" x14ac:dyDescent="0.3">
      <c r="B7" s="27" t="s">
        <v>3</v>
      </c>
      <c r="C7" s="27"/>
      <c r="D7" s="27"/>
      <c r="E7" s="27"/>
      <c r="F7" s="27"/>
      <c r="G7" s="27"/>
      <c r="H7" s="27"/>
    </row>
    <row r="9" spans="2:8" x14ac:dyDescent="0.3">
      <c r="B9" s="3" t="s">
        <v>4</v>
      </c>
    </row>
    <row r="10" spans="2:8" ht="45" customHeight="1" x14ac:dyDescent="0.3">
      <c r="B10" s="27" t="s">
        <v>5</v>
      </c>
      <c r="C10" s="27"/>
      <c r="D10" s="27"/>
      <c r="E10" s="27"/>
      <c r="F10" s="27"/>
      <c r="G10" s="27"/>
      <c r="H10" s="27"/>
    </row>
    <row r="12" spans="2:8" x14ac:dyDescent="0.3">
      <c r="B12" s="3" t="s">
        <v>6</v>
      </c>
    </row>
    <row r="13" spans="2:8" ht="45" customHeight="1" x14ac:dyDescent="0.3">
      <c r="B13" s="27" t="s">
        <v>7</v>
      </c>
      <c r="C13" s="27"/>
      <c r="D13" s="27"/>
      <c r="E13" s="27"/>
      <c r="F13" s="27"/>
      <c r="G13" s="27"/>
      <c r="H13" s="27"/>
    </row>
    <row r="15" spans="2:8" x14ac:dyDescent="0.3">
      <c r="B15" s="3" t="s">
        <v>8</v>
      </c>
    </row>
    <row r="16" spans="2:8" ht="45" customHeight="1" x14ac:dyDescent="0.3">
      <c r="B16" s="27" t="s">
        <v>9</v>
      </c>
      <c r="C16" s="27"/>
      <c r="D16" s="27"/>
      <c r="E16" s="27"/>
      <c r="F16" s="27"/>
      <c r="G16" s="27"/>
      <c r="H16" s="27"/>
    </row>
    <row r="19" spans="2:10" x14ac:dyDescent="0.3">
      <c r="B19" s="3" t="s">
        <v>10</v>
      </c>
    </row>
    <row r="20" spans="2:10" ht="30" customHeight="1" x14ac:dyDescent="0.3">
      <c r="B20" s="4" t="s">
        <v>11</v>
      </c>
      <c r="C20" s="4" t="s">
        <v>12</v>
      </c>
      <c r="D20" s="4" t="s">
        <v>13</v>
      </c>
      <c r="E20" s="4" t="s">
        <v>14</v>
      </c>
      <c r="F20" s="4" t="s">
        <v>15</v>
      </c>
      <c r="G20" s="4" t="s">
        <v>16</v>
      </c>
      <c r="H20" s="4" t="s">
        <v>17</v>
      </c>
      <c r="I20" s="4" t="s">
        <v>18</v>
      </c>
      <c r="J20" s="4" t="s">
        <v>19</v>
      </c>
    </row>
    <row r="21" spans="2:10" ht="30" customHeight="1" x14ac:dyDescent="0.3">
      <c r="B21" s="5" t="s">
        <v>20</v>
      </c>
      <c r="C21" s="5"/>
      <c r="D21" s="5" t="s">
        <v>21</v>
      </c>
      <c r="E21" s="5" t="s">
        <v>22</v>
      </c>
      <c r="F21" s="5" t="s">
        <v>23</v>
      </c>
      <c r="G21" s="5" t="s">
        <v>23</v>
      </c>
      <c r="H21" s="5" t="s">
        <v>24</v>
      </c>
      <c r="I21" s="5" t="s">
        <v>25</v>
      </c>
      <c r="J21" s="5" t="s">
        <v>26</v>
      </c>
    </row>
  </sheetData>
  <mergeCells count="4">
    <mergeCell ref="B7:H7"/>
    <mergeCell ref="B10:H10"/>
    <mergeCell ref="B13:H13"/>
    <mergeCell ref="B16:H1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70"/>
  <sheetViews>
    <sheetView tabSelected="1" zoomScaleNormal="100" workbookViewId="0">
      <pane ySplit="1" topLeftCell="A2" activePane="bottomLeft" state="frozen"/>
      <selection pane="bottomLeft" activeCell="F4" sqref="F4"/>
    </sheetView>
  </sheetViews>
  <sheetFormatPr baseColWidth="10" defaultColWidth="8.5546875" defaultRowHeight="14.4" x14ac:dyDescent="0.3"/>
  <cols>
    <col min="1" max="1" width="16" customWidth="1"/>
    <col min="2" max="2" width="20" customWidth="1"/>
    <col min="3" max="3" width="34" customWidth="1"/>
    <col min="4" max="4" width="26" customWidth="1"/>
    <col min="5" max="6" width="20" customWidth="1"/>
    <col min="7" max="7" width="14" customWidth="1"/>
    <col min="8" max="8" width="16" customWidth="1"/>
    <col min="9" max="9" width="40" customWidth="1"/>
  </cols>
  <sheetData>
    <row r="1" spans="1:9" ht="27.6" x14ac:dyDescent="0.3">
      <c r="A1" s="6" t="s">
        <v>11</v>
      </c>
      <c r="B1" s="6" t="s">
        <v>12</v>
      </c>
      <c r="C1" s="6" t="s">
        <v>13</v>
      </c>
      <c r="D1" s="6" t="s">
        <v>14</v>
      </c>
      <c r="E1" s="6" t="s">
        <v>15</v>
      </c>
      <c r="F1" s="6" t="s">
        <v>16</v>
      </c>
      <c r="G1" s="6" t="s">
        <v>17</v>
      </c>
      <c r="H1" s="6" t="s">
        <v>18</v>
      </c>
      <c r="I1" s="6" t="s">
        <v>19</v>
      </c>
    </row>
    <row r="2" spans="1:9" x14ac:dyDescent="0.3">
      <c r="A2" s="7" t="s">
        <v>20</v>
      </c>
      <c r="B2" s="7"/>
      <c r="C2" s="8" t="s">
        <v>21</v>
      </c>
      <c r="D2" s="9" t="s">
        <v>22</v>
      </c>
      <c r="E2" s="9" t="s">
        <v>23</v>
      </c>
      <c r="F2" s="9" t="s">
        <v>23</v>
      </c>
      <c r="G2" s="9"/>
      <c r="H2" s="9" t="s">
        <v>397</v>
      </c>
      <c r="I2" s="8"/>
    </row>
    <row r="3" spans="1:9" x14ac:dyDescent="0.3">
      <c r="A3" s="7" t="s">
        <v>20</v>
      </c>
      <c r="B3" s="7"/>
      <c r="C3" s="8" t="s">
        <v>28</v>
      </c>
      <c r="D3" s="9" t="s">
        <v>29</v>
      </c>
      <c r="E3" s="9" t="s">
        <v>23</v>
      </c>
      <c r="F3" s="9" t="s">
        <v>23</v>
      </c>
      <c r="G3" s="9"/>
      <c r="H3" s="9"/>
      <c r="I3" s="8"/>
    </row>
    <row r="4" spans="1:9" x14ac:dyDescent="0.3">
      <c r="A4" s="7" t="s">
        <v>20</v>
      </c>
      <c r="B4" s="7"/>
      <c r="C4" s="8" t="s">
        <v>30</v>
      </c>
      <c r="D4" s="9" t="s">
        <v>31</v>
      </c>
      <c r="E4" s="9" t="s">
        <v>23</v>
      </c>
      <c r="F4" s="9" t="s">
        <v>23</v>
      </c>
      <c r="G4" s="9"/>
      <c r="H4" s="9"/>
      <c r="I4" s="8"/>
    </row>
    <row r="5" spans="1:9" x14ac:dyDescent="0.3">
      <c r="A5" s="7" t="s">
        <v>20</v>
      </c>
      <c r="B5" s="7"/>
      <c r="C5" s="8" t="s">
        <v>32</v>
      </c>
      <c r="D5" s="9" t="s">
        <v>33</v>
      </c>
      <c r="E5" s="9" t="s">
        <v>27</v>
      </c>
      <c r="F5" s="9" t="s">
        <v>27</v>
      </c>
      <c r="G5" s="9"/>
      <c r="H5" s="9"/>
      <c r="I5" s="8"/>
    </row>
    <row r="6" spans="1:9" x14ac:dyDescent="0.3">
      <c r="A6" s="7" t="s">
        <v>20</v>
      </c>
      <c r="B6" s="7"/>
      <c r="C6" s="8" t="s">
        <v>34</v>
      </c>
      <c r="D6" s="9" t="s">
        <v>35</v>
      </c>
      <c r="E6" s="9" t="s">
        <v>27</v>
      </c>
      <c r="F6" s="9" t="s">
        <v>27</v>
      </c>
      <c r="G6" s="9"/>
      <c r="H6" s="9"/>
      <c r="I6" s="8"/>
    </row>
    <row r="7" spans="1:9" x14ac:dyDescent="0.3">
      <c r="A7" s="10" t="s">
        <v>36</v>
      </c>
      <c r="B7" s="10"/>
      <c r="C7" s="8" t="s">
        <v>37</v>
      </c>
      <c r="D7" s="9" t="s">
        <v>38</v>
      </c>
      <c r="E7" s="9" t="s">
        <v>23</v>
      </c>
      <c r="F7" s="9" t="s">
        <v>23</v>
      </c>
      <c r="G7" s="9"/>
      <c r="H7" s="9"/>
      <c r="I7" s="8"/>
    </row>
    <row r="8" spans="1:9" x14ac:dyDescent="0.3">
      <c r="A8" s="10" t="s">
        <v>36</v>
      </c>
      <c r="B8" s="10"/>
      <c r="C8" s="8" t="s">
        <v>39</v>
      </c>
      <c r="D8" s="9" t="s">
        <v>40</v>
      </c>
      <c r="E8" s="9" t="s">
        <v>23</v>
      </c>
      <c r="F8" s="9" t="s">
        <v>23</v>
      </c>
      <c r="G8" s="9"/>
      <c r="H8" s="9"/>
      <c r="I8" s="8"/>
    </row>
    <row r="9" spans="1:9" x14ac:dyDescent="0.3">
      <c r="A9" s="10" t="s">
        <v>36</v>
      </c>
      <c r="B9" s="10"/>
      <c r="C9" s="8" t="s">
        <v>41</v>
      </c>
      <c r="D9" s="9" t="s">
        <v>42</v>
      </c>
      <c r="E9" s="9" t="s">
        <v>23</v>
      </c>
      <c r="F9" s="9" t="s">
        <v>23</v>
      </c>
      <c r="G9" s="9"/>
      <c r="H9" s="9"/>
      <c r="I9" s="8"/>
    </row>
    <row r="10" spans="1:9" x14ac:dyDescent="0.3">
      <c r="A10" s="10" t="s">
        <v>36</v>
      </c>
      <c r="B10" s="10"/>
      <c r="C10" s="8" t="s">
        <v>43</v>
      </c>
      <c r="D10" s="9" t="s">
        <v>44</v>
      </c>
      <c r="E10" s="9" t="s">
        <v>23</v>
      </c>
      <c r="F10" s="9" t="s">
        <v>23</v>
      </c>
      <c r="G10" s="9"/>
      <c r="H10" s="9"/>
      <c r="I10" s="8"/>
    </row>
    <row r="11" spans="1:9" x14ac:dyDescent="0.3">
      <c r="A11" s="10" t="s">
        <v>36</v>
      </c>
      <c r="B11" s="10"/>
      <c r="C11" s="8" t="s">
        <v>45</v>
      </c>
      <c r="D11" s="9" t="s">
        <v>46</v>
      </c>
      <c r="E11" s="9" t="s">
        <v>23</v>
      </c>
      <c r="F11" s="9" t="s">
        <v>23</v>
      </c>
      <c r="G11" s="9"/>
      <c r="H11" s="9"/>
      <c r="I11" s="8"/>
    </row>
    <row r="12" spans="1:9" x14ac:dyDescent="0.3">
      <c r="A12" s="11" t="s">
        <v>47</v>
      </c>
      <c r="B12" s="11"/>
      <c r="C12" s="8" t="s">
        <v>48</v>
      </c>
      <c r="D12" s="9" t="s">
        <v>49</v>
      </c>
      <c r="E12" s="9" t="s">
        <v>23</v>
      </c>
      <c r="F12" s="9" t="s">
        <v>23</v>
      </c>
      <c r="G12" s="9"/>
      <c r="H12" s="9"/>
      <c r="I12" s="8"/>
    </row>
    <row r="13" spans="1:9" x14ac:dyDescent="0.3">
      <c r="A13" s="11" t="s">
        <v>47</v>
      </c>
      <c r="B13" s="11"/>
      <c r="C13" s="8" t="s">
        <v>50</v>
      </c>
      <c r="D13" s="9" t="s">
        <v>51</v>
      </c>
      <c r="E13" s="9" t="s">
        <v>23</v>
      </c>
      <c r="F13" s="9" t="s">
        <v>23</v>
      </c>
      <c r="G13" s="9"/>
      <c r="H13" s="9"/>
      <c r="I13" s="8"/>
    </row>
    <row r="14" spans="1:9" x14ac:dyDescent="0.3">
      <c r="A14" s="11" t="s">
        <v>47</v>
      </c>
      <c r="B14" s="11"/>
      <c r="C14" s="8" t="s">
        <v>52</v>
      </c>
      <c r="D14" s="9" t="s">
        <v>53</v>
      </c>
      <c r="E14" s="9" t="s">
        <v>23</v>
      </c>
      <c r="F14" s="9" t="s">
        <v>23</v>
      </c>
      <c r="G14" s="9"/>
      <c r="H14" s="9"/>
      <c r="I14" s="8"/>
    </row>
    <row r="15" spans="1:9" x14ac:dyDescent="0.3">
      <c r="A15" s="11" t="s">
        <v>47</v>
      </c>
      <c r="B15" s="11"/>
      <c r="C15" s="8" t="s">
        <v>54</v>
      </c>
      <c r="D15" s="9" t="s">
        <v>55</v>
      </c>
      <c r="E15" s="9" t="s">
        <v>23</v>
      </c>
      <c r="F15" s="9" t="s">
        <v>23</v>
      </c>
      <c r="G15" s="9"/>
      <c r="H15" s="9"/>
      <c r="I15" s="8"/>
    </row>
    <row r="16" spans="1:9" x14ac:dyDescent="0.3">
      <c r="A16" s="11" t="s">
        <v>47</v>
      </c>
      <c r="B16" s="11"/>
      <c r="C16" s="8" t="s">
        <v>56</v>
      </c>
      <c r="D16" s="9" t="s">
        <v>57</v>
      </c>
      <c r="E16" s="9" t="s">
        <v>23</v>
      </c>
      <c r="F16" s="9" t="s">
        <v>23</v>
      </c>
      <c r="G16" s="9"/>
      <c r="H16" s="9"/>
      <c r="I16" s="8"/>
    </row>
    <row r="17" spans="1:9" x14ac:dyDescent="0.3">
      <c r="A17" s="11" t="s">
        <v>47</v>
      </c>
      <c r="B17" s="11"/>
      <c r="C17" s="8" t="s">
        <v>58</v>
      </c>
      <c r="D17" s="9" t="s">
        <v>59</v>
      </c>
      <c r="E17" s="9" t="s">
        <v>23</v>
      </c>
      <c r="F17" s="9" t="s">
        <v>23</v>
      </c>
      <c r="G17" s="9"/>
      <c r="H17" s="9"/>
      <c r="I17" s="8"/>
    </row>
    <row r="18" spans="1:9" x14ac:dyDescent="0.3">
      <c r="A18" s="11" t="s">
        <v>47</v>
      </c>
      <c r="B18" s="11"/>
      <c r="C18" s="8" t="s">
        <v>60</v>
      </c>
      <c r="D18" s="9" t="s">
        <v>61</v>
      </c>
      <c r="E18" s="9" t="s">
        <v>23</v>
      </c>
      <c r="F18" s="9" t="s">
        <v>23</v>
      </c>
      <c r="G18" s="9"/>
      <c r="H18" s="9"/>
      <c r="I18" s="8"/>
    </row>
    <row r="19" spans="1:9" x14ac:dyDescent="0.3">
      <c r="A19" s="12" t="s">
        <v>62</v>
      </c>
      <c r="B19" s="12"/>
      <c r="C19" s="8" t="s">
        <v>63</v>
      </c>
      <c r="D19" s="9" t="s">
        <v>64</v>
      </c>
      <c r="E19" s="9" t="s">
        <v>27</v>
      </c>
      <c r="F19" s="9" t="s">
        <v>27</v>
      </c>
      <c r="G19" s="9"/>
      <c r="H19" s="9"/>
      <c r="I19" s="8"/>
    </row>
    <row r="20" spans="1:9" x14ac:dyDescent="0.3">
      <c r="A20" s="12" t="s">
        <v>62</v>
      </c>
      <c r="B20" s="12"/>
      <c r="C20" s="8" t="s">
        <v>65</v>
      </c>
      <c r="D20" s="9" t="s">
        <v>66</v>
      </c>
      <c r="E20" s="9" t="s">
        <v>27</v>
      </c>
      <c r="F20" s="9" t="s">
        <v>27</v>
      </c>
      <c r="G20" s="9"/>
      <c r="H20" s="9"/>
      <c r="I20" s="8"/>
    </row>
    <row r="21" spans="1:9" x14ac:dyDescent="0.3">
      <c r="A21" s="12" t="s">
        <v>62</v>
      </c>
      <c r="B21" s="12"/>
      <c r="C21" s="8" t="s">
        <v>67</v>
      </c>
      <c r="D21" s="9" t="s">
        <v>68</v>
      </c>
      <c r="E21" s="9" t="s">
        <v>27</v>
      </c>
      <c r="F21" s="9" t="s">
        <v>27</v>
      </c>
      <c r="G21" s="9"/>
      <c r="H21" s="9"/>
      <c r="I21" s="8"/>
    </row>
    <row r="22" spans="1:9" x14ac:dyDescent="0.3">
      <c r="A22" s="12" t="s">
        <v>62</v>
      </c>
      <c r="B22" s="12"/>
      <c r="C22" s="8" t="s">
        <v>69</v>
      </c>
      <c r="D22" s="9" t="s">
        <v>70</v>
      </c>
      <c r="E22" s="9" t="s">
        <v>27</v>
      </c>
      <c r="F22" s="9" t="s">
        <v>27</v>
      </c>
      <c r="G22" s="9"/>
      <c r="H22" s="9"/>
      <c r="I22" s="8"/>
    </row>
    <row r="23" spans="1:9" x14ac:dyDescent="0.3">
      <c r="A23" s="12" t="s">
        <v>62</v>
      </c>
      <c r="B23" s="12"/>
      <c r="C23" s="8" t="s">
        <v>71</v>
      </c>
      <c r="D23" s="9" t="s">
        <v>72</v>
      </c>
      <c r="E23" s="9" t="s">
        <v>27</v>
      </c>
      <c r="F23" s="9" t="s">
        <v>27</v>
      </c>
      <c r="G23" s="9"/>
      <c r="H23" s="9"/>
      <c r="I23" s="8"/>
    </row>
    <row r="24" spans="1:9" x14ac:dyDescent="0.3">
      <c r="A24" s="12" t="s">
        <v>62</v>
      </c>
      <c r="B24" s="12"/>
      <c r="C24" s="8" t="s">
        <v>73</v>
      </c>
      <c r="D24" s="9" t="s">
        <v>74</v>
      </c>
      <c r="E24" s="9" t="s">
        <v>27</v>
      </c>
      <c r="F24" s="9" t="s">
        <v>27</v>
      </c>
      <c r="G24" s="9"/>
      <c r="H24" s="9"/>
      <c r="I24" s="8"/>
    </row>
    <row r="25" spans="1:9" x14ac:dyDescent="0.3">
      <c r="A25" s="12" t="s">
        <v>62</v>
      </c>
      <c r="B25" s="12"/>
      <c r="C25" s="8" t="s">
        <v>75</v>
      </c>
      <c r="D25" s="9" t="s">
        <v>76</v>
      </c>
      <c r="E25" s="9" t="s">
        <v>27</v>
      </c>
      <c r="F25" s="9" t="s">
        <v>27</v>
      </c>
      <c r="G25" s="9"/>
      <c r="H25" s="9"/>
      <c r="I25" s="8"/>
    </row>
    <row r="26" spans="1:9" x14ac:dyDescent="0.3">
      <c r="A26" s="12" t="s">
        <v>62</v>
      </c>
      <c r="B26" s="12"/>
      <c r="C26" s="8" t="s">
        <v>77</v>
      </c>
      <c r="D26" s="9" t="s">
        <v>78</v>
      </c>
      <c r="E26" s="9" t="s">
        <v>27</v>
      </c>
      <c r="F26" s="9" t="s">
        <v>27</v>
      </c>
      <c r="G26" s="9"/>
      <c r="H26" s="9"/>
      <c r="I26" s="8"/>
    </row>
    <row r="27" spans="1:9" x14ac:dyDescent="0.3">
      <c r="A27" s="12" t="s">
        <v>62</v>
      </c>
      <c r="B27" s="12"/>
      <c r="C27" s="8" t="s">
        <v>79</v>
      </c>
      <c r="D27" s="9" t="s">
        <v>80</v>
      </c>
      <c r="E27" s="9" t="s">
        <v>27</v>
      </c>
      <c r="F27" s="9" t="s">
        <v>27</v>
      </c>
      <c r="G27" s="9"/>
      <c r="H27" s="9"/>
      <c r="I27" s="8"/>
    </row>
    <row r="28" spans="1:9" x14ac:dyDescent="0.3">
      <c r="A28" s="12" t="s">
        <v>62</v>
      </c>
      <c r="B28" s="12"/>
      <c r="C28" s="8" t="s">
        <v>81</v>
      </c>
      <c r="D28" s="9" t="s">
        <v>82</v>
      </c>
      <c r="E28" s="9" t="s">
        <v>27</v>
      </c>
      <c r="F28" s="9" t="s">
        <v>27</v>
      </c>
      <c r="G28" s="9"/>
      <c r="H28" s="9"/>
      <c r="I28" s="8"/>
    </row>
    <row r="29" spans="1:9" x14ac:dyDescent="0.3">
      <c r="A29" s="12" t="s">
        <v>62</v>
      </c>
      <c r="B29" s="12"/>
      <c r="C29" s="8" t="s">
        <v>83</v>
      </c>
      <c r="D29" s="9" t="s">
        <v>84</v>
      </c>
      <c r="E29" s="9" t="s">
        <v>27</v>
      </c>
      <c r="F29" s="9" t="s">
        <v>27</v>
      </c>
      <c r="G29" s="9"/>
      <c r="H29" s="9"/>
      <c r="I29" s="8"/>
    </row>
    <row r="30" spans="1:9" x14ac:dyDescent="0.3">
      <c r="A30" s="12" t="s">
        <v>62</v>
      </c>
      <c r="B30" s="12"/>
      <c r="C30" s="8" t="s">
        <v>85</v>
      </c>
      <c r="D30" s="9" t="s">
        <v>86</v>
      </c>
      <c r="E30" s="9" t="s">
        <v>27</v>
      </c>
      <c r="F30" s="9" t="s">
        <v>27</v>
      </c>
      <c r="G30" s="9"/>
      <c r="H30" s="9"/>
      <c r="I30" s="8"/>
    </row>
    <row r="31" spans="1:9" x14ac:dyDescent="0.3">
      <c r="A31" s="12" t="s">
        <v>62</v>
      </c>
      <c r="B31" s="12"/>
      <c r="C31" s="8" t="s">
        <v>87</v>
      </c>
      <c r="D31" s="9" t="s">
        <v>88</v>
      </c>
      <c r="E31" s="9" t="s">
        <v>27</v>
      </c>
      <c r="F31" s="9" t="s">
        <v>27</v>
      </c>
      <c r="G31" s="9"/>
      <c r="H31" s="9"/>
      <c r="I31" s="8"/>
    </row>
    <row r="32" spans="1:9" x14ac:dyDescent="0.3">
      <c r="A32" s="12" t="s">
        <v>62</v>
      </c>
      <c r="B32" s="12"/>
      <c r="C32" s="8" t="s">
        <v>89</v>
      </c>
      <c r="D32" s="9" t="s">
        <v>90</v>
      </c>
      <c r="E32" s="9" t="s">
        <v>27</v>
      </c>
      <c r="F32" s="9" t="s">
        <v>27</v>
      </c>
      <c r="G32" s="9"/>
      <c r="H32" s="9"/>
      <c r="I32" s="8"/>
    </row>
    <row r="33" spans="1:9" x14ac:dyDescent="0.3">
      <c r="A33" s="12" t="s">
        <v>62</v>
      </c>
      <c r="B33" s="12"/>
      <c r="C33" s="8" t="s">
        <v>91</v>
      </c>
      <c r="D33" s="9" t="s">
        <v>92</v>
      </c>
      <c r="E33" s="9" t="s">
        <v>27</v>
      </c>
      <c r="F33" s="9" t="s">
        <v>27</v>
      </c>
      <c r="G33" s="9"/>
      <c r="H33" s="9"/>
      <c r="I33" s="8"/>
    </row>
    <row r="34" spans="1:9" x14ac:dyDescent="0.3">
      <c r="A34" s="12" t="s">
        <v>62</v>
      </c>
      <c r="B34" s="12"/>
      <c r="C34" s="8" t="s">
        <v>93</v>
      </c>
      <c r="D34" s="9" t="s">
        <v>94</v>
      </c>
      <c r="E34" s="9" t="s">
        <v>27</v>
      </c>
      <c r="F34" s="9" t="s">
        <v>27</v>
      </c>
      <c r="G34" s="9"/>
      <c r="H34" s="9"/>
      <c r="I34" s="8"/>
    </row>
    <row r="35" spans="1:9" x14ac:dyDescent="0.3">
      <c r="A35" s="12" t="s">
        <v>62</v>
      </c>
      <c r="B35" s="12"/>
      <c r="C35" s="8" t="s">
        <v>95</v>
      </c>
      <c r="D35" s="9" t="s">
        <v>96</v>
      </c>
      <c r="E35" s="9" t="s">
        <v>27</v>
      </c>
      <c r="F35" s="9" t="s">
        <v>27</v>
      </c>
      <c r="G35" s="9"/>
      <c r="H35" s="9"/>
      <c r="I35" s="8"/>
    </row>
    <row r="36" spans="1:9" x14ac:dyDescent="0.3">
      <c r="A36" s="12" t="s">
        <v>62</v>
      </c>
      <c r="B36" s="12"/>
      <c r="C36" s="8" t="s">
        <v>97</v>
      </c>
      <c r="D36" s="9" t="s">
        <v>98</v>
      </c>
      <c r="E36" s="9" t="s">
        <v>27</v>
      </c>
      <c r="F36" s="9" t="s">
        <v>27</v>
      </c>
      <c r="G36" s="9"/>
      <c r="H36" s="9"/>
      <c r="I36" s="8"/>
    </row>
    <row r="37" spans="1:9" x14ac:dyDescent="0.3">
      <c r="A37" s="13" t="s">
        <v>99</v>
      </c>
      <c r="B37" s="13"/>
      <c r="C37" s="8" t="s">
        <v>100</v>
      </c>
      <c r="D37" s="9" t="s">
        <v>101</v>
      </c>
      <c r="E37" s="9" t="s">
        <v>27</v>
      </c>
      <c r="F37" s="9" t="s">
        <v>27</v>
      </c>
      <c r="G37" s="9"/>
      <c r="H37" s="9"/>
      <c r="I37" s="8"/>
    </row>
    <row r="38" spans="1:9" x14ac:dyDescent="0.3">
      <c r="A38" s="13" t="s">
        <v>99</v>
      </c>
      <c r="B38" s="13"/>
      <c r="C38" s="8" t="s">
        <v>102</v>
      </c>
      <c r="D38" s="9" t="s">
        <v>103</v>
      </c>
      <c r="E38" s="9" t="s">
        <v>27</v>
      </c>
      <c r="F38" s="9" t="s">
        <v>27</v>
      </c>
      <c r="G38" s="9"/>
      <c r="H38" s="9"/>
      <c r="I38" s="8"/>
    </row>
    <row r="39" spans="1:9" x14ac:dyDescent="0.3">
      <c r="A39" s="13" t="s">
        <v>99</v>
      </c>
      <c r="B39" s="13"/>
      <c r="C39" s="8" t="s">
        <v>104</v>
      </c>
      <c r="D39" s="9" t="s">
        <v>105</v>
      </c>
      <c r="E39" s="9" t="s">
        <v>27</v>
      </c>
      <c r="F39" s="9" t="s">
        <v>27</v>
      </c>
      <c r="G39" s="9"/>
      <c r="H39" s="9"/>
      <c r="I39" s="8"/>
    </row>
    <row r="40" spans="1:9" x14ac:dyDescent="0.3">
      <c r="A40" s="13" t="s">
        <v>99</v>
      </c>
      <c r="B40" s="13"/>
      <c r="C40" s="8" t="s">
        <v>106</v>
      </c>
      <c r="D40" s="9" t="s">
        <v>107</v>
      </c>
      <c r="E40" s="9" t="s">
        <v>27</v>
      </c>
      <c r="F40" s="9" t="s">
        <v>27</v>
      </c>
      <c r="G40" s="9"/>
      <c r="H40" s="9"/>
      <c r="I40" s="8"/>
    </row>
    <row r="41" spans="1:9" x14ac:dyDescent="0.3">
      <c r="A41" s="14" t="s">
        <v>108</v>
      </c>
      <c r="B41" s="14" t="s">
        <v>109</v>
      </c>
      <c r="C41" s="8" t="s">
        <v>110</v>
      </c>
      <c r="D41" s="9" t="s">
        <v>111</v>
      </c>
      <c r="E41" s="9" t="s">
        <v>27</v>
      </c>
      <c r="F41" s="9" t="s">
        <v>27</v>
      </c>
      <c r="G41" s="9"/>
      <c r="H41" s="9"/>
      <c r="I41" s="8"/>
    </row>
    <row r="42" spans="1:9" x14ac:dyDescent="0.3">
      <c r="A42" s="14" t="s">
        <v>108</v>
      </c>
      <c r="B42" s="14" t="s">
        <v>109</v>
      </c>
      <c r="C42" s="8" t="s">
        <v>112</v>
      </c>
      <c r="D42" s="9" t="s">
        <v>113</v>
      </c>
      <c r="E42" s="9" t="s">
        <v>27</v>
      </c>
      <c r="F42" s="9" t="s">
        <v>27</v>
      </c>
      <c r="G42" s="9"/>
      <c r="H42" s="9"/>
      <c r="I42" s="8"/>
    </row>
    <row r="43" spans="1:9" x14ac:dyDescent="0.3">
      <c r="A43" s="14" t="s">
        <v>108</v>
      </c>
      <c r="B43" s="14" t="s">
        <v>114</v>
      </c>
      <c r="C43" s="8" t="s">
        <v>115</v>
      </c>
      <c r="D43" s="9" t="s">
        <v>116</v>
      </c>
      <c r="E43" s="9" t="s">
        <v>27</v>
      </c>
      <c r="F43" s="9" t="s">
        <v>27</v>
      </c>
      <c r="G43" s="9"/>
      <c r="H43" s="9"/>
      <c r="I43" s="8"/>
    </row>
    <row r="44" spans="1:9" x14ac:dyDescent="0.3">
      <c r="A44" s="14" t="s">
        <v>108</v>
      </c>
      <c r="B44" s="14" t="s">
        <v>114</v>
      </c>
      <c r="C44" s="8" t="s">
        <v>117</v>
      </c>
      <c r="D44" s="9" t="s">
        <v>118</v>
      </c>
      <c r="E44" s="9" t="s">
        <v>27</v>
      </c>
      <c r="F44" s="9" t="s">
        <v>27</v>
      </c>
      <c r="G44" s="9"/>
      <c r="H44" s="9"/>
      <c r="I44" s="8"/>
    </row>
    <row r="45" spans="1:9" x14ac:dyDescent="0.3">
      <c r="A45" s="14" t="s">
        <v>108</v>
      </c>
      <c r="B45" s="14" t="s">
        <v>114</v>
      </c>
      <c r="C45" s="8" t="s">
        <v>119</v>
      </c>
      <c r="D45" s="9" t="s">
        <v>120</v>
      </c>
      <c r="E45" s="9" t="s">
        <v>27</v>
      </c>
      <c r="F45" s="9" t="s">
        <v>27</v>
      </c>
      <c r="G45" s="9"/>
      <c r="H45" s="9"/>
      <c r="I45" s="8"/>
    </row>
    <row r="46" spans="1:9" x14ac:dyDescent="0.3">
      <c r="A46" s="14" t="s">
        <v>108</v>
      </c>
      <c r="B46" s="14" t="s">
        <v>121</v>
      </c>
      <c r="C46" s="8" t="s">
        <v>122</v>
      </c>
      <c r="D46" s="9" t="s">
        <v>123</v>
      </c>
      <c r="E46" s="9" t="s">
        <v>27</v>
      </c>
      <c r="F46" s="9" t="s">
        <v>27</v>
      </c>
      <c r="G46" s="9"/>
      <c r="H46" s="9"/>
      <c r="I46" s="8"/>
    </row>
    <row r="47" spans="1:9" x14ac:dyDescent="0.3">
      <c r="A47" s="14" t="s">
        <v>108</v>
      </c>
      <c r="B47" s="14" t="s">
        <v>121</v>
      </c>
      <c r="C47" s="8" t="s">
        <v>124</v>
      </c>
      <c r="D47" s="9" t="s">
        <v>125</v>
      </c>
      <c r="E47" s="9" t="s">
        <v>27</v>
      </c>
      <c r="F47" s="9" t="s">
        <v>27</v>
      </c>
      <c r="G47" s="9"/>
      <c r="H47" s="9"/>
      <c r="I47" s="8"/>
    </row>
    <row r="48" spans="1:9" x14ac:dyDescent="0.3">
      <c r="A48" s="14" t="s">
        <v>108</v>
      </c>
      <c r="B48" s="14" t="s">
        <v>126</v>
      </c>
      <c r="C48" s="8" t="s">
        <v>127</v>
      </c>
      <c r="D48" s="9" t="s">
        <v>128</v>
      </c>
      <c r="E48" s="9" t="s">
        <v>27</v>
      </c>
      <c r="F48" s="9" t="s">
        <v>27</v>
      </c>
      <c r="G48" s="9"/>
      <c r="H48" s="9"/>
      <c r="I48" s="8"/>
    </row>
    <row r="49" spans="1:9" x14ac:dyDescent="0.3">
      <c r="A49" s="14" t="s">
        <v>108</v>
      </c>
      <c r="B49" s="14" t="s">
        <v>126</v>
      </c>
      <c r="C49" s="8" t="s">
        <v>129</v>
      </c>
      <c r="D49" s="9" t="s">
        <v>130</v>
      </c>
      <c r="E49" s="9" t="s">
        <v>27</v>
      </c>
      <c r="F49" s="9" t="s">
        <v>27</v>
      </c>
      <c r="G49" s="9"/>
      <c r="H49" s="9"/>
      <c r="I49" s="8"/>
    </row>
    <row r="50" spans="1:9" x14ac:dyDescent="0.3">
      <c r="A50" s="15" t="s">
        <v>131</v>
      </c>
      <c r="B50" s="15"/>
      <c r="C50" s="8" t="s">
        <v>132</v>
      </c>
      <c r="D50" s="9" t="s">
        <v>133</v>
      </c>
      <c r="E50" s="9" t="s">
        <v>27</v>
      </c>
      <c r="F50" s="9" t="s">
        <v>27</v>
      </c>
      <c r="G50" s="9"/>
      <c r="H50" s="9"/>
      <c r="I50" s="8"/>
    </row>
    <row r="51" spans="1:9" ht="26.4" x14ac:dyDescent="0.3">
      <c r="A51" s="15" t="s">
        <v>131</v>
      </c>
      <c r="B51" s="15"/>
      <c r="C51" s="8" t="s">
        <v>134</v>
      </c>
      <c r="D51" s="9" t="s">
        <v>135</v>
      </c>
      <c r="E51" s="9" t="s">
        <v>27</v>
      </c>
      <c r="F51" s="9" t="s">
        <v>27</v>
      </c>
      <c r="G51" s="9"/>
      <c r="H51" s="9"/>
      <c r="I51" s="8"/>
    </row>
    <row r="52" spans="1:9" x14ac:dyDescent="0.3">
      <c r="A52" s="15" t="s">
        <v>131</v>
      </c>
      <c r="B52" s="15"/>
      <c r="C52" s="8" t="s">
        <v>136</v>
      </c>
      <c r="D52" s="9" t="s">
        <v>137</v>
      </c>
      <c r="E52" s="9" t="s">
        <v>27</v>
      </c>
      <c r="F52" s="9" t="s">
        <v>27</v>
      </c>
      <c r="G52" s="9"/>
      <c r="H52" s="9"/>
      <c r="I52" s="8"/>
    </row>
    <row r="53" spans="1:9" ht="26.4" x14ac:dyDescent="0.3">
      <c r="A53" s="15" t="s">
        <v>131</v>
      </c>
      <c r="B53" s="15"/>
      <c r="C53" s="8" t="s">
        <v>138</v>
      </c>
      <c r="D53" s="9" t="s">
        <v>139</v>
      </c>
      <c r="E53" s="9" t="s">
        <v>27</v>
      </c>
      <c r="F53" s="9" t="s">
        <v>27</v>
      </c>
      <c r="G53" s="9"/>
      <c r="H53" s="9"/>
      <c r="I53" s="8"/>
    </row>
    <row r="54" spans="1:9" ht="26.4" x14ac:dyDescent="0.3">
      <c r="A54" s="15" t="s">
        <v>131</v>
      </c>
      <c r="B54" s="15"/>
      <c r="C54" s="8" t="s">
        <v>140</v>
      </c>
      <c r="D54" s="9" t="s">
        <v>141</v>
      </c>
      <c r="E54" s="9" t="s">
        <v>27</v>
      </c>
      <c r="F54" s="9" t="s">
        <v>27</v>
      </c>
      <c r="G54" s="9"/>
      <c r="H54" s="9"/>
      <c r="I54" s="8"/>
    </row>
    <row r="55" spans="1:9" ht="26.4" x14ac:dyDescent="0.3">
      <c r="A55" s="15" t="s">
        <v>131</v>
      </c>
      <c r="B55" s="15"/>
      <c r="C55" s="8" t="s">
        <v>142</v>
      </c>
      <c r="D55" s="9" t="s">
        <v>143</v>
      </c>
      <c r="E55" s="9" t="s">
        <v>27</v>
      </c>
      <c r="F55" s="9" t="s">
        <v>27</v>
      </c>
      <c r="G55" s="9"/>
      <c r="H55" s="9"/>
      <c r="I55" s="8"/>
    </row>
    <row r="56" spans="1:9" x14ac:dyDescent="0.3">
      <c r="A56" s="16" t="s">
        <v>144</v>
      </c>
      <c r="B56" s="16"/>
      <c r="C56" s="8" t="s">
        <v>145</v>
      </c>
      <c r="D56" s="9" t="s">
        <v>146</v>
      </c>
      <c r="E56" s="9" t="s">
        <v>27</v>
      </c>
      <c r="F56" s="9" t="s">
        <v>27</v>
      </c>
      <c r="G56" s="9"/>
      <c r="H56" s="9"/>
      <c r="I56" s="8"/>
    </row>
    <row r="57" spans="1:9" x14ac:dyDescent="0.3">
      <c r="A57" s="16" t="s">
        <v>144</v>
      </c>
      <c r="B57" s="16"/>
      <c r="C57" s="8" t="s">
        <v>147</v>
      </c>
      <c r="D57" s="9" t="s">
        <v>148</v>
      </c>
      <c r="E57" s="9" t="s">
        <v>27</v>
      </c>
      <c r="F57" s="9" t="s">
        <v>27</v>
      </c>
      <c r="G57" s="9"/>
      <c r="H57" s="9"/>
      <c r="I57" s="8"/>
    </row>
    <row r="58" spans="1:9" x14ac:dyDescent="0.3">
      <c r="A58" s="16" t="s">
        <v>144</v>
      </c>
      <c r="B58" s="16"/>
      <c r="C58" s="8" t="s">
        <v>149</v>
      </c>
      <c r="D58" s="9" t="s">
        <v>150</v>
      </c>
      <c r="E58" s="9" t="s">
        <v>27</v>
      </c>
      <c r="F58" s="9" t="s">
        <v>27</v>
      </c>
      <c r="G58" s="9"/>
      <c r="H58" s="9"/>
      <c r="I58" s="8"/>
    </row>
    <row r="59" spans="1:9" x14ac:dyDescent="0.3">
      <c r="A59" s="16" t="s">
        <v>144</v>
      </c>
      <c r="B59" s="16"/>
      <c r="C59" s="8" t="s">
        <v>151</v>
      </c>
      <c r="D59" s="9" t="s">
        <v>152</v>
      </c>
      <c r="E59" s="9" t="s">
        <v>27</v>
      </c>
      <c r="F59" s="9" t="s">
        <v>27</v>
      </c>
      <c r="G59" s="9"/>
      <c r="H59" s="9"/>
      <c r="I59" s="8"/>
    </row>
    <row r="60" spans="1:9" x14ac:dyDescent="0.3">
      <c r="A60" s="16" t="s">
        <v>144</v>
      </c>
      <c r="B60" s="16"/>
      <c r="C60" s="8" t="s">
        <v>153</v>
      </c>
      <c r="D60" s="9" t="s">
        <v>154</v>
      </c>
      <c r="E60" s="9" t="s">
        <v>27</v>
      </c>
      <c r="F60" s="9" t="s">
        <v>27</v>
      </c>
      <c r="G60" s="9"/>
      <c r="H60" s="9"/>
      <c r="I60" s="8"/>
    </row>
    <row r="61" spans="1:9" x14ac:dyDescent="0.3">
      <c r="A61" s="16" t="s">
        <v>144</v>
      </c>
      <c r="B61" s="16"/>
      <c r="C61" s="8" t="s">
        <v>155</v>
      </c>
      <c r="D61" s="9" t="s">
        <v>156</v>
      </c>
      <c r="E61" s="9" t="s">
        <v>27</v>
      </c>
      <c r="F61" s="9" t="s">
        <v>27</v>
      </c>
      <c r="G61" s="9"/>
      <c r="H61" s="9"/>
      <c r="I61" s="8"/>
    </row>
    <row r="62" spans="1:9" x14ac:dyDescent="0.3">
      <c r="A62" s="16" t="s">
        <v>144</v>
      </c>
      <c r="B62" s="16"/>
      <c r="C62" s="8" t="s">
        <v>157</v>
      </c>
      <c r="D62" s="9" t="s">
        <v>158</v>
      </c>
      <c r="E62" s="9" t="s">
        <v>27</v>
      </c>
      <c r="F62" s="9" t="s">
        <v>27</v>
      </c>
      <c r="G62" s="9"/>
      <c r="H62" s="9"/>
      <c r="I62" s="8"/>
    </row>
    <row r="63" spans="1:9" ht="26.4" x14ac:dyDescent="0.3">
      <c r="A63" s="16" t="s">
        <v>144</v>
      </c>
      <c r="B63" s="16"/>
      <c r="C63" s="8" t="s">
        <v>159</v>
      </c>
      <c r="D63" s="9" t="s">
        <v>160</v>
      </c>
      <c r="E63" s="9" t="s">
        <v>27</v>
      </c>
      <c r="F63" s="9" t="s">
        <v>27</v>
      </c>
      <c r="G63" s="9"/>
      <c r="H63" s="9"/>
      <c r="I63" s="8"/>
    </row>
    <row r="64" spans="1:9" ht="26.4" x14ac:dyDescent="0.3">
      <c r="A64" s="16" t="s">
        <v>144</v>
      </c>
      <c r="B64" s="16"/>
      <c r="C64" s="8" t="s">
        <v>161</v>
      </c>
      <c r="D64" s="9" t="s">
        <v>162</v>
      </c>
      <c r="E64" s="9" t="s">
        <v>27</v>
      </c>
      <c r="F64" s="9" t="s">
        <v>27</v>
      </c>
      <c r="G64" s="9"/>
      <c r="H64" s="9"/>
      <c r="I64" s="8"/>
    </row>
    <row r="65" spans="1:9" ht="26.4" x14ac:dyDescent="0.3">
      <c r="A65" s="16" t="s">
        <v>144</v>
      </c>
      <c r="B65" s="16"/>
      <c r="C65" s="8" t="s">
        <v>163</v>
      </c>
      <c r="D65" s="9" t="s">
        <v>164</v>
      </c>
      <c r="E65" s="9" t="s">
        <v>27</v>
      </c>
      <c r="F65" s="9" t="s">
        <v>27</v>
      </c>
      <c r="G65" s="9"/>
      <c r="H65" s="9"/>
      <c r="I65" s="8"/>
    </row>
    <row r="66" spans="1:9" ht="26.4" x14ac:dyDescent="0.3">
      <c r="A66" s="16" t="s">
        <v>144</v>
      </c>
      <c r="B66" s="16"/>
      <c r="C66" s="8" t="s">
        <v>165</v>
      </c>
      <c r="D66" s="9" t="s">
        <v>166</v>
      </c>
      <c r="E66" s="9" t="s">
        <v>27</v>
      </c>
      <c r="F66" s="9" t="s">
        <v>27</v>
      </c>
      <c r="G66" s="9"/>
      <c r="H66" s="9"/>
      <c r="I66" s="8"/>
    </row>
    <row r="67" spans="1:9" ht="26.4" x14ac:dyDescent="0.3">
      <c r="A67" s="16" t="s">
        <v>144</v>
      </c>
      <c r="B67" s="16"/>
      <c r="C67" s="8" t="s">
        <v>167</v>
      </c>
      <c r="D67" s="9" t="s">
        <v>168</v>
      </c>
      <c r="E67" s="9" t="s">
        <v>27</v>
      </c>
      <c r="F67" s="9" t="s">
        <v>27</v>
      </c>
      <c r="G67" s="9"/>
      <c r="H67" s="9"/>
      <c r="I67" s="8"/>
    </row>
    <row r="68" spans="1:9" ht="26.4" x14ac:dyDescent="0.3">
      <c r="A68" s="16" t="s">
        <v>144</v>
      </c>
      <c r="B68" s="16"/>
      <c r="C68" s="8" t="s">
        <v>169</v>
      </c>
      <c r="D68" s="9" t="s">
        <v>170</v>
      </c>
      <c r="E68" s="9" t="s">
        <v>27</v>
      </c>
      <c r="F68" s="9" t="s">
        <v>27</v>
      </c>
      <c r="G68" s="9"/>
      <c r="H68" s="9"/>
      <c r="I68" s="8"/>
    </row>
    <row r="69" spans="1:9" x14ac:dyDescent="0.3">
      <c r="A69" s="16" t="s">
        <v>144</v>
      </c>
      <c r="B69" s="16"/>
      <c r="C69" s="8" t="s">
        <v>171</v>
      </c>
      <c r="D69" s="9" t="s">
        <v>172</v>
      </c>
      <c r="E69" s="9" t="s">
        <v>27</v>
      </c>
      <c r="F69" s="9" t="s">
        <v>27</v>
      </c>
      <c r="G69" s="9"/>
      <c r="H69" s="9"/>
      <c r="I69" s="8"/>
    </row>
    <row r="70" spans="1:9" ht="26.4" x14ac:dyDescent="0.3">
      <c r="A70" s="16" t="s">
        <v>144</v>
      </c>
      <c r="B70" s="16"/>
      <c r="C70" s="8" t="s">
        <v>173</v>
      </c>
      <c r="D70" s="9" t="s">
        <v>174</v>
      </c>
      <c r="E70" s="9" t="s">
        <v>27</v>
      </c>
      <c r="F70" s="9" t="s">
        <v>27</v>
      </c>
      <c r="G70" s="9"/>
      <c r="H70" s="9"/>
      <c r="I70" s="8"/>
    </row>
    <row r="71" spans="1:9" ht="26.4" x14ac:dyDescent="0.3">
      <c r="A71" s="16" t="s">
        <v>144</v>
      </c>
      <c r="B71" s="16"/>
      <c r="C71" s="8" t="s">
        <v>175</v>
      </c>
      <c r="D71" s="9" t="s">
        <v>176</v>
      </c>
      <c r="E71" s="9" t="s">
        <v>27</v>
      </c>
      <c r="F71" s="9" t="s">
        <v>27</v>
      </c>
      <c r="G71" s="9"/>
      <c r="H71" s="9"/>
      <c r="I71" s="8"/>
    </row>
    <row r="72" spans="1:9" x14ac:dyDescent="0.3">
      <c r="A72" s="16" t="s">
        <v>144</v>
      </c>
      <c r="B72" s="16"/>
      <c r="C72" s="8" t="s">
        <v>177</v>
      </c>
      <c r="D72" s="9" t="s">
        <v>178</v>
      </c>
      <c r="E72" s="9" t="s">
        <v>27</v>
      </c>
      <c r="F72" s="9" t="s">
        <v>27</v>
      </c>
      <c r="G72" s="9"/>
      <c r="H72" s="9"/>
      <c r="I72" s="8"/>
    </row>
    <row r="73" spans="1:9" ht="26.4" x14ac:dyDescent="0.3">
      <c r="A73" s="16" t="s">
        <v>144</v>
      </c>
      <c r="B73" s="16"/>
      <c r="C73" s="8" t="s">
        <v>179</v>
      </c>
      <c r="D73" s="9" t="s">
        <v>180</v>
      </c>
      <c r="E73" s="9" t="s">
        <v>27</v>
      </c>
      <c r="F73" s="9" t="s">
        <v>27</v>
      </c>
      <c r="G73" s="9"/>
      <c r="H73" s="9"/>
      <c r="I73" s="8"/>
    </row>
    <row r="74" spans="1:9" ht="26.4" x14ac:dyDescent="0.3">
      <c r="A74" s="16" t="s">
        <v>144</v>
      </c>
      <c r="B74" s="16"/>
      <c r="C74" s="8" t="s">
        <v>181</v>
      </c>
      <c r="D74" s="9" t="s">
        <v>182</v>
      </c>
      <c r="E74" s="9" t="s">
        <v>27</v>
      </c>
      <c r="F74" s="9" t="s">
        <v>27</v>
      </c>
      <c r="G74" s="9"/>
      <c r="H74" s="9"/>
      <c r="I74" s="8"/>
    </row>
    <row r="75" spans="1:9" ht="26.4" x14ac:dyDescent="0.3">
      <c r="A75" s="16" t="s">
        <v>144</v>
      </c>
      <c r="B75" s="16"/>
      <c r="C75" s="8" t="s">
        <v>183</v>
      </c>
      <c r="D75" s="9" t="s">
        <v>184</v>
      </c>
      <c r="E75" s="9" t="s">
        <v>27</v>
      </c>
      <c r="F75" s="9" t="s">
        <v>27</v>
      </c>
      <c r="G75" s="9"/>
      <c r="H75" s="9"/>
      <c r="I75" s="8"/>
    </row>
    <row r="76" spans="1:9" ht="26.4" x14ac:dyDescent="0.3">
      <c r="A76" s="16" t="s">
        <v>144</v>
      </c>
      <c r="B76" s="16"/>
      <c r="C76" s="8" t="s">
        <v>185</v>
      </c>
      <c r="D76" s="9" t="s">
        <v>186</v>
      </c>
      <c r="E76" s="9" t="s">
        <v>27</v>
      </c>
      <c r="F76" s="9" t="s">
        <v>27</v>
      </c>
      <c r="G76" s="9"/>
      <c r="H76" s="9"/>
      <c r="I76" s="8"/>
    </row>
    <row r="77" spans="1:9" ht="26.4" x14ac:dyDescent="0.3">
      <c r="A77" s="16" t="s">
        <v>144</v>
      </c>
      <c r="B77" s="16"/>
      <c r="C77" s="8" t="s">
        <v>187</v>
      </c>
      <c r="D77" s="9" t="s">
        <v>188</v>
      </c>
      <c r="E77" s="9" t="s">
        <v>27</v>
      </c>
      <c r="F77" s="9" t="s">
        <v>27</v>
      </c>
      <c r="G77" s="9"/>
      <c r="H77" s="9"/>
      <c r="I77" s="8"/>
    </row>
    <row r="78" spans="1:9" ht="26.4" x14ac:dyDescent="0.3">
      <c r="A78" s="16" t="s">
        <v>144</v>
      </c>
      <c r="B78" s="16"/>
      <c r="C78" s="8" t="s">
        <v>189</v>
      </c>
      <c r="D78" s="9" t="s">
        <v>190</v>
      </c>
      <c r="E78" s="9" t="s">
        <v>27</v>
      </c>
      <c r="F78" s="9" t="s">
        <v>27</v>
      </c>
      <c r="G78" s="9"/>
      <c r="H78" s="9"/>
      <c r="I78" s="8"/>
    </row>
    <row r="79" spans="1:9" ht="26.4" x14ac:dyDescent="0.3">
      <c r="A79" s="16" t="s">
        <v>144</v>
      </c>
      <c r="B79" s="16"/>
      <c r="C79" s="8" t="s">
        <v>191</v>
      </c>
      <c r="D79" s="9" t="s">
        <v>192</v>
      </c>
      <c r="E79" s="9" t="s">
        <v>27</v>
      </c>
      <c r="F79" s="9" t="s">
        <v>27</v>
      </c>
      <c r="G79" s="9"/>
      <c r="H79" s="9"/>
      <c r="I79" s="8"/>
    </row>
    <row r="80" spans="1:9" ht="26.4" x14ac:dyDescent="0.3">
      <c r="A80" s="16" t="s">
        <v>144</v>
      </c>
      <c r="B80" s="16"/>
      <c r="C80" s="8" t="s">
        <v>193</v>
      </c>
      <c r="D80" s="9" t="s">
        <v>194</v>
      </c>
      <c r="E80" s="9" t="s">
        <v>27</v>
      </c>
      <c r="F80" s="9" t="s">
        <v>27</v>
      </c>
      <c r="G80" s="9"/>
      <c r="H80" s="9"/>
      <c r="I80" s="8"/>
    </row>
    <row r="81" spans="1:9" ht="26.4" x14ac:dyDescent="0.3">
      <c r="A81" s="16" t="s">
        <v>144</v>
      </c>
      <c r="B81" s="16"/>
      <c r="C81" s="8" t="s">
        <v>195</v>
      </c>
      <c r="D81" s="9" t="s">
        <v>196</v>
      </c>
      <c r="E81" s="9" t="s">
        <v>27</v>
      </c>
      <c r="F81" s="9" t="s">
        <v>27</v>
      </c>
      <c r="G81" s="9"/>
      <c r="H81" s="9"/>
      <c r="I81" s="8"/>
    </row>
    <row r="82" spans="1:9" ht="26.4" x14ac:dyDescent="0.3">
      <c r="A82" s="16" t="s">
        <v>144</v>
      </c>
      <c r="B82" s="16"/>
      <c r="C82" s="8" t="s">
        <v>197</v>
      </c>
      <c r="D82" s="9" t="s">
        <v>198</v>
      </c>
      <c r="E82" s="9" t="s">
        <v>27</v>
      </c>
      <c r="F82" s="9" t="s">
        <v>27</v>
      </c>
      <c r="G82" s="9"/>
      <c r="H82" s="9"/>
      <c r="I82" s="8"/>
    </row>
    <row r="83" spans="1:9" ht="26.4" x14ac:dyDescent="0.3">
      <c r="A83" s="17" t="s">
        <v>199</v>
      </c>
      <c r="B83" s="17"/>
      <c r="C83" s="8" t="s">
        <v>200</v>
      </c>
      <c r="D83" s="9" t="s">
        <v>201</v>
      </c>
      <c r="E83" s="9" t="s">
        <v>27</v>
      </c>
      <c r="F83" s="9" t="s">
        <v>27</v>
      </c>
      <c r="G83" s="9"/>
      <c r="H83" s="9"/>
      <c r="I83" s="8"/>
    </row>
    <row r="84" spans="1:9" x14ac:dyDescent="0.3">
      <c r="A84" s="17" t="s">
        <v>199</v>
      </c>
      <c r="B84" s="17"/>
      <c r="C84" s="8" t="s">
        <v>202</v>
      </c>
      <c r="D84" s="9" t="s">
        <v>203</v>
      </c>
      <c r="E84" s="9" t="s">
        <v>27</v>
      </c>
      <c r="F84" s="9" t="s">
        <v>27</v>
      </c>
      <c r="G84" s="9"/>
      <c r="H84" s="9"/>
      <c r="I84" s="8"/>
    </row>
    <row r="85" spans="1:9" ht="26.4" x14ac:dyDescent="0.3">
      <c r="A85" s="17" t="s">
        <v>199</v>
      </c>
      <c r="B85" s="17"/>
      <c r="C85" s="8" t="s">
        <v>204</v>
      </c>
      <c r="D85" s="9" t="s">
        <v>205</v>
      </c>
      <c r="E85" s="9" t="s">
        <v>27</v>
      </c>
      <c r="F85" s="9" t="s">
        <v>27</v>
      </c>
      <c r="G85" s="9"/>
      <c r="H85" s="9"/>
      <c r="I85" s="8"/>
    </row>
    <row r="86" spans="1:9" ht="26.4" x14ac:dyDescent="0.3">
      <c r="A86" s="17" t="s">
        <v>199</v>
      </c>
      <c r="B86" s="17"/>
      <c r="C86" s="8" t="s">
        <v>206</v>
      </c>
      <c r="D86" s="9" t="s">
        <v>207</v>
      </c>
      <c r="E86" s="9" t="s">
        <v>27</v>
      </c>
      <c r="F86" s="9" t="s">
        <v>27</v>
      </c>
      <c r="G86" s="9"/>
      <c r="H86" s="9"/>
      <c r="I86" s="8"/>
    </row>
    <row r="87" spans="1:9" ht="26.4" x14ac:dyDescent="0.3">
      <c r="A87" s="17" t="s">
        <v>199</v>
      </c>
      <c r="B87" s="17"/>
      <c r="C87" s="8" t="s">
        <v>208</v>
      </c>
      <c r="D87" s="9" t="s">
        <v>209</v>
      </c>
      <c r="E87" s="9" t="s">
        <v>27</v>
      </c>
      <c r="F87" s="9" t="s">
        <v>27</v>
      </c>
      <c r="G87" s="9"/>
      <c r="H87" s="9"/>
      <c r="I87" s="8"/>
    </row>
    <row r="88" spans="1:9" x14ac:dyDescent="0.3">
      <c r="A88" s="17" t="s">
        <v>199</v>
      </c>
      <c r="B88" s="17"/>
      <c r="C88" s="8" t="s">
        <v>210</v>
      </c>
      <c r="D88" s="9" t="s">
        <v>211</v>
      </c>
      <c r="E88" s="9" t="s">
        <v>27</v>
      </c>
      <c r="F88" s="9" t="s">
        <v>27</v>
      </c>
      <c r="G88" s="9"/>
      <c r="H88" s="9"/>
      <c r="I88" s="8"/>
    </row>
    <row r="89" spans="1:9" x14ac:dyDescent="0.3">
      <c r="A89" s="17" t="s">
        <v>199</v>
      </c>
      <c r="B89" s="17"/>
      <c r="C89" s="8" t="s">
        <v>212</v>
      </c>
      <c r="D89" s="9" t="s">
        <v>213</v>
      </c>
      <c r="E89" s="9" t="s">
        <v>27</v>
      </c>
      <c r="F89" s="9" t="s">
        <v>27</v>
      </c>
      <c r="G89" s="9"/>
      <c r="H89" s="9"/>
      <c r="I89" s="8"/>
    </row>
    <row r="90" spans="1:9" x14ac:dyDescent="0.3">
      <c r="A90" s="18" t="s">
        <v>214</v>
      </c>
      <c r="B90" s="18"/>
      <c r="C90" s="8" t="s">
        <v>215</v>
      </c>
      <c r="D90" s="9" t="s">
        <v>216</v>
      </c>
      <c r="E90" s="9" t="s">
        <v>27</v>
      </c>
      <c r="F90" s="9" t="s">
        <v>27</v>
      </c>
      <c r="G90" s="9"/>
      <c r="H90" s="9"/>
      <c r="I90" s="8"/>
    </row>
    <row r="91" spans="1:9" x14ac:dyDescent="0.3">
      <c r="A91" s="18" t="s">
        <v>214</v>
      </c>
      <c r="B91" s="18"/>
      <c r="C91" s="8" t="s">
        <v>217</v>
      </c>
      <c r="D91" s="9" t="s">
        <v>218</v>
      </c>
      <c r="E91" s="9" t="s">
        <v>27</v>
      </c>
      <c r="F91" s="9" t="s">
        <v>27</v>
      </c>
      <c r="G91" s="9"/>
      <c r="H91" s="9"/>
      <c r="I91" s="8"/>
    </row>
    <row r="92" spans="1:9" x14ac:dyDescent="0.3">
      <c r="A92" s="18" t="s">
        <v>214</v>
      </c>
      <c r="B92" s="18"/>
      <c r="C92" s="8" t="s">
        <v>219</v>
      </c>
      <c r="D92" s="9" t="s">
        <v>220</v>
      </c>
      <c r="E92" s="9" t="s">
        <v>27</v>
      </c>
      <c r="F92" s="9" t="s">
        <v>27</v>
      </c>
      <c r="G92" s="9"/>
      <c r="H92" s="9"/>
      <c r="I92" s="8"/>
    </row>
    <row r="93" spans="1:9" ht="26.4" x14ac:dyDescent="0.3">
      <c r="A93" s="18" t="s">
        <v>214</v>
      </c>
      <c r="B93" s="18"/>
      <c r="C93" s="8" t="s">
        <v>221</v>
      </c>
      <c r="D93" s="9" t="s">
        <v>222</v>
      </c>
      <c r="E93" s="9" t="s">
        <v>27</v>
      </c>
      <c r="F93" s="9" t="s">
        <v>27</v>
      </c>
      <c r="G93" s="9"/>
      <c r="H93" s="9"/>
      <c r="I93" s="8"/>
    </row>
    <row r="94" spans="1:9" ht="26.4" x14ac:dyDescent="0.3">
      <c r="A94" s="18" t="s">
        <v>214</v>
      </c>
      <c r="B94" s="18"/>
      <c r="C94" s="8" t="s">
        <v>223</v>
      </c>
      <c r="D94" s="9" t="s">
        <v>224</v>
      </c>
      <c r="E94" s="9" t="s">
        <v>27</v>
      </c>
      <c r="F94" s="9" t="s">
        <v>27</v>
      </c>
      <c r="G94" s="9"/>
      <c r="H94" s="9"/>
      <c r="I94" s="8"/>
    </row>
    <row r="95" spans="1:9" x14ac:dyDescent="0.3">
      <c r="A95" s="18" t="s">
        <v>214</v>
      </c>
      <c r="B95" s="18"/>
      <c r="C95" s="8" t="s">
        <v>225</v>
      </c>
      <c r="D95" s="9" t="s">
        <v>226</v>
      </c>
      <c r="E95" s="9" t="s">
        <v>27</v>
      </c>
      <c r="F95" s="9" t="s">
        <v>27</v>
      </c>
      <c r="G95" s="9"/>
      <c r="H95" s="9"/>
      <c r="I95" s="8"/>
    </row>
    <row r="96" spans="1:9" x14ac:dyDescent="0.3">
      <c r="A96" s="18" t="s">
        <v>214</v>
      </c>
      <c r="B96" s="18"/>
      <c r="C96" s="8" t="s">
        <v>227</v>
      </c>
      <c r="D96" s="9" t="s">
        <v>228</v>
      </c>
      <c r="E96" s="9" t="s">
        <v>27</v>
      </c>
      <c r="F96" s="9" t="s">
        <v>27</v>
      </c>
      <c r="G96" s="9"/>
      <c r="H96" s="9"/>
      <c r="I96" s="8"/>
    </row>
    <row r="97" spans="1:9" x14ac:dyDescent="0.3">
      <c r="A97" s="18" t="s">
        <v>214</v>
      </c>
      <c r="B97" s="18"/>
      <c r="C97" s="8" t="s">
        <v>229</v>
      </c>
      <c r="D97" s="9" t="s">
        <v>230</v>
      </c>
      <c r="E97" s="9" t="s">
        <v>27</v>
      </c>
      <c r="F97" s="9" t="s">
        <v>27</v>
      </c>
      <c r="G97" s="9"/>
      <c r="H97" s="9"/>
      <c r="I97" s="8"/>
    </row>
    <row r="98" spans="1:9" x14ac:dyDescent="0.3">
      <c r="A98" s="18" t="s">
        <v>214</v>
      </c>
      <c r="B98" s="18"/>
      <c r="C98" s="8" t="s">
        <v>231</v>
      </c>
      <c r="D98" s="9" t="s">
        <v>232</v>
      </c>
      <c r="E98" s="9" t="s">
        <v>27</v>
      </c>
      <c r="F98" s="9" t="s">
        <v>27</v>
      </c>
      <c r="G98" s="9"/>
      <c r="H98" s="9"/>
      <c r="I98" s="8"/>
    </row>
    <row r="99" spans="1:9" ht="26.4" x14ac:dyDescent="0.3">
      <c r="A99" s="18" t="s">
        <v>214</v>
      </c>
      <c r="B99" s="18"/>
      <c r="C99" s="8" t="s">
        <v>233</v>
      </c>
      <c r="D99" s="9" t="s">
        <v>234</v>
      </c>
      <c r="E99" s="9" t="s">
        <v>27</v>
      </c>
      <c r="F99" s="9" t="s">
        <v>27</v>
      </c>
      <c r="G99" s="9"/>
      <c r="H99" s="9"/>
      <c r="I99" s="8"/>
    </row>
    <row r="100" spans="1:9" x14ac:dyDescent="0.3">
      <c r="A100" s="18" t="s">
        <v>214</v>
      </c>
      <c r="B100" s="18"/>
      <c r="C100" s="8" t="s">
        <v>235</v>
      </c>
      <c r="D100" s="9" t="s">
        <v>236</v>
      </c>
      <c r="E100" s="9" t="s">
        <v>27</v>
      </c>
      <c r="F100" s="9" t="s">
        <v>27</v>
      </c>
      <c r="G100" s="9"/>
      <c r="H100" s="9"/>
      <c r="I100" s="8"/>
    </row>
    <row r="101" spans="1:9" x14ac:dyDescent="0.3">
      <c r="A101" s="18" t="s">
        <v>214</v>
      </c>
      <c r="B101" s="18"/>
      <c r="C101" s="8" t="s">
        <v>237</v>
      </c>
      <c r="D101" s="9" t="s">
        <v>238</v>
      </c>
      <c r="E101" s="9" t="s">
        <v>27</v>
      </c>
      <c r="F101" s="9" t="s">
        <v>27</v>
      </c>
      <c r="G101" s="9"/>
      <c r="H101" s="9"/>
      <c r="I101" s="8"/>
    </row>
    <row r="102" spans="1:9" x14ac:dyDescent="0.3">
      <c r="A102" s="18" t="s">
        <v>214</v>
      </c>
      <c r="B102" s="18"/>
      <c r="C102" s="8" t="s">
        <v>239</v>
      </c>
      <c r="D102" s="9" t="s">
        <v>240</v>
      </c>
      <c r="E102" s="9" t="s">
        <v>27</v>
      </c>
      <c r="F102" s="9" t="s">
        <v>27</v>
      </c>
      <c r="G102" s="9"/>
      <c r="H102" s="9"/>
      <c r="I102" s="8"/>
    </row>
    <row r="103" spans="1:9" x14ac:dyDescent="0.3">
      <c r="A103" s="18" t="s">
        <v>214</v>
      </c>
      <c r="B103" s="18"/>
      <c r="C103" s="8" t="s">
        <v>241</v>
      </c>
      <c r="D103" s="9" t="s">
        <v>242</v>
      </c>
      <c r="E103" s="9" t="s">
        <v>27</v>
      </c>
      <c r="F103" s="9" t="s">
        <v>27</v>
      </c>
      <c r="G103" s="9"/>
      <c r="H103" s="9"/>
      <c r="I103" s="8"/>
    </row>
    <row r="104" spans="1:9" x14ac:dyDescent="0.3">
      <c r="A104" s="18" t="s">
        <v>214</v>
      </c>
      <c r="B104" s="18"/>
      <c r="C104" s="8" t="s">
        <v>243</v>
      </c>
      <c r="D104" s="9" t="s">
        <v>244</v>
      </c>
      <c r="E104" s="9" t="s">
        <v>27</v>
      </c>
      <c r="F104" s="9" t="s">
        <v>27</v>
      </c>
      <c r="G104" s="9"/>
      <c r="H104" s="9"/>
      <c r="I104" s="8"/>
    </row>
    <row r="105" spans="1:9" x14ac:dyDescent="0.3">
      <c r="A105" s="18" t="s">
        <v>214</v>
      </c>
      <c r="B105" s="18"/>
      <c r="C105" s="8" t="s">
        <v>245</v>
      </c>
      <c r="D105" s="9" t="s">
        <v>246</v>
      </c>
      <c r="E105" s="9" t="s">
        <v>27</v>
      </c>
      <c r="F105" s="9" t="s">
        <v>27</v>
      </c>
      <c r="G105" s="9"/>
      <c r="H105" s="9"/>
      <c r="I105" s="8"/>
    </row>
    <row r="106" spans="1:9" ht="26.4" x14ac:dyDescent="0.3">
      <c r="A106" s="18" t="s">
        <v>214</v>
      </c>
      <c r="B106" s="18"/>
      <c r="C106" s="8" t="s">
        <v>247</v>
      </c>
      <c r="D106" s="9" t="s">
        <v>248</v>
      </c>
      <c r="E106" s="9" t="s">
        <v>27</v>
      </c>
      <c r="F106" s="9" t="s">
        <v>27</v>
      </c>
      <c r="G106" s="9"/>
      <c r="H106" s="9"/>
      <c r="I106" s="8"/>
    </row>
    <row r="107" spans="1:9" x14ac:dyDescent="0.3">
      <c r="A107" s="18" t="s">
        <v>214</v>
      </c>
      <c r="B107" s="18"/>
      <c r="C107" s="8" t="s">
        <v>249</v>
      </c>
      <c r="D107" s="9" t="s">
        <v>250</v>
      </c>
      <c r="E107" s="9" t="s">
        <v>27</v>
      </c>
      <c r="F107" s="9" t="s">
        <v>27</v>
      </c>
      <c r="G107" s="9"/>
      <c r="H107" s="9"/>
      <c r="I107" s="8"/>
    </row>
    <row r="108" spans="1:9" x14ac:dyDescent="0.3">
      <c r="A108" s="18" t="s">
        <v>214</v>
      </c>
      <c r="B108" s="18"/>
      <c r="C108" s="8" t="s">
        <v>251</v>
      </c>
      <c r="D108" s="9" t="s">
        <v>252</v>
      </c>
      <c r="E108" s="9" t="s">
        <v>27</v>
      </c>
      <c r="F108" s="9" t="s">
        <v>27</v>
      </c>
      <c r="G108" s="9"/>
      <c r="H108" s="9"/>
      <c r="I108" s="8"/>
    </row>
    <row r="109" spans="1:9" ht="26.4" x14ac:dyDescent="0.3">
      <c r="A109" s="18" t="s">
        <v>214</v>
      </c>
      <c r="B109" s="18"/>
      <c r="C109" s="8" t="s">
        <v>253</v>
      </c>
      <c r="D109" s="9" t="s">
        <v>254</v>
      </c>
      <c r="E109" s="9" t="s">
        <v>27</v>
      </c>
      <c r="F109" s="9" t="s">
        <v>27</v>
      </c>
      <c r="G109" s="9"/>
      <c r="H109" s="9"/>
      <c r="I109" s="8"/>
    </row>
    <row r="110" spans="1:9" x14ac:dyDescent="0.3">
      <c r="A110" s="18" t="s">
        <v>214</v>
      </c>
      <c r="B110" s="18"/>
      <c r="C110" s="8" t="s">
        <v>255</v>
      </c>
      <c r="D110" s="9" t="s">
        <v>256</v>
      </c>
      <c r="E110" s="9" t="s">
        <v>27</v>
      </c>
      <c r="F110" s="9" t="s">
        <v>27</v>
      </c>
      <c r="G110" s="9"/>
      <c r="H110" s="9"/>
      <c r="I110" s="8"/>
    </row>
    <row r="111" spans="1:9" x14ac:dyDescent="0.3">
      <c r="A111" s="19" t="s">
        <v>257</v>
      </c>
      <c r="B111" s="19"/>
      <c r="C111" s="8" t="s">
        <v>258</v>
      </c>
      <c r="D111" s="9" t="s">
        <v>259</v>
      </c>
      <c r="E111" s="9" t="s">
        <v>27</v>
      </c>
      <c r="F111" s="9" t="s">
        <v>27</v>
      </c>
      <c r="G111" s="9"/>
      <c r="H111" s="9"/>
      <c r="I111" s="8"/>
    </row>
    <row r="112" spans="1:9" ht="26.4" x14ac:dyDescent="0.3">
      <c r="A112" s="19" t="s">
        <v>257</v>
      </c>
      <c r="B112" s="19"/>
      <c r="C112" s="8" t="s">
        <v>260</v>
      </c>
      <c r="D112" s="9" t="s">
        <v>261</v>
      </c>
      <c r="E112" s="9" t="s">
        <v>27</v>
      </c>
      <c r="F112" s="9" t="s">
        <v>27</v>
      </c>
      <c r="G112" s="9"/>
      <c r="H112" s="9"/>
      <c r="I112" s="8"/>
    </row>
    <row r="113" spans="1:9" ht="26.4" x14ac:dyDescent="0.3">
      <c r="A113" s="19" t="s">
        <v>257</v>
      </c>
      <c r="B113" s="19"/>
      <c r="C113" s="8" t="s">
        <v>262</v>
      </c>
      <c r="D113" s="9" t="s">
        <v>263</v>
      </c>
      <c r="E113" s="9" t="s">
        <v>27</v>
      </c>
      <c r="F113" s="9" t="s">
        <v>27</v>
      </c>
      <c r="G113" s="9"/>
      <c r="H113" s="9"/>
      <c r="I113" s="8"/>
    </row>
    <row r="114" spans="1:9" ht="26.4" x14ac:dyDescent="0.3">
      <c r="A114" s="19" t="s">
        <v>257</v>
      </c>
      <c r="B114" s="19"/>
      <c r="C114" s="8" t="s">
        <v>264</v>
      </c>
      <c r="D114" s="9" t="s">
        <v>265</v>
      </c>
      <c r="E114" s="9" t="s">
        <v>27</v>
      </c>
      <c r="F114" s="9" t="s">
        <v>27</v>
      </c>
      <c r="G114" s="9"/>
      <c r="H114" s="9"/>
      <c r="I114" s="8"/>
    </row>
    <row r="115" spans="1:9" x14ac:dyDescent="0.3">
      <c r="A115" s="19" t="s">
        <v>257</v>
      </c>
      <c r="B115" s="19"/>
      <c r="C115" s="8" t="s">
        <v>266</v>
      </c>
      <c r="D115" s="9" t="s">
        <v>267</v>
      </c>
      <c r="E115" s="9" t="s">
        <v>27</v>
      </c>
      <c r="F115" s="9" t="s">
        <v>27</v>
      </c>
      <c r="G115" s="9"/>
      <c r="H115" s="9"/>
      <c r="I115" s="8"/>
    </row>
    <row r="116" spans="1:9" ht="26.4" x14ac:dyDescent="0.3">
      <c r="A116" s="19" t="s">
        <v>257</v>
      </c>
      <c r="B116" s="19"/>
      <c r="C116" s="8" t="s">
        <v>268</v>
      </c>
      <c r="D116" s="9" t="s">
        <v>269</v>
      </c>
      <c r="E116" s="9" t="s">
        <v>27</v>
      </c>
      <c r="F116" s="9" t="s">
        <v>27</v>
      </c>
      <c r="G116" s="9"/>
      <c r="H116" s="9"/>
      <c r="I116" s="8"/>
    </row>
    <row r="117" spans="1:9" x14ac:dyDescent="0.3">
      <c r="A117" s="19" t="s">
        <v>257</v>
      </c>
      <c r="B117" s="19"/>
      <c r="C117" s="8" t="s">
        <v>270</v>
      </c>
      <c r="D117" s="9" t="s">
        <v>271</v>
      </c>
      <c r="E117" s="9" t="s">
        <v>27</v>
      </c>
      <c r="F117" s="9" t="s">
        <v>27</v>
      </c>
      <c r="G117" s="9"/>
      <c r="H117" s="9"/>
      <c r="I117" s="8"/>
    </row>
    <row r="118" spans="1:9" ht="26.4" x14ac:dyDescent="0.3">
      <c r="A118" s="19" t="s">
        <v>257</v>
      </c>
      <c r="B118" s="19"/>
      <c r="C118" s="8" t="s">
        <v>272</v>
      </c>
      <c r="D118" s="9" t="s">
        <v>273</v>
      </c>
      <c r="E118" s="9" t="s">
        <v>27</v>
      </c>
      <c r="F118" s="9" t="s">
        <v>27</v>
      </c>
      <c r="G118" s="9"/>
      <c r="H118" s="9"/>
      <c r="I118" s="8"/>
    </row>
    <row r="119" spans="1:9" ht="26.4" x14ac:dyDescent="0.3">
      <c r="A119" s="20" t="s">
        <v>274</v>
      </c>
      <c r="B119" s="20" t="s">
        <v>275</v>
      </c>
      <c r="C119" s="8" t="s">
        <v>276</v>
      </c>
      <c r="D119" s="9" t="s">
        <v>277</v>
      </c>
      <c r="E119" s="9" t="s">
        <v>27</v>
      </c>
      <c r="F119" s="9" t="s">
        <v>27</v>
      </c>
      <c r="G119" s="9"/>
      <c r="H119" s="9"/>
      <c r="I119" s="8"/>
    </row>
    <row r="120" spans="1:9" ht="26.4" x14ac:dyDescent="0.3">
      <c r="A120" s="20" t="s">
        <v>274</v>
      </c>
      <c r="B120" s="20" t="s">
        <v>275</v>
      </c>
      <c r="C120" s="8" t="s">
        <v>278</v>
      </c>
      <c r="D120" s="9" t="s">
        <v>279</v>
      </c>
      <c r="E120" s="9" t="s">
        <v>27</v>
      </c>
      <c r="F120" s="9" t="s">
        <v>27</v>
      </c>
      <c r="G120" s="9"/>
      <c r="H120" s="9"/>
      <c r="I120" s="8"/>
    </row>
    <row r="121" spans="1:9" ht="26.4" x14ac:dyDescent="0.3">
      <c r="A121" s="20" t="s">
        <v>274</v>
      </c>
      <c r="B121" s="20" t="s">
        <v>280</v>
      </c>
      <c r="C121" s="8" t="s">
        <v>281</v>
      </c>
      <c r="D121" s="9" t="s">
        <v>282</v>
      </c>
      <c r="E121" s="9" t="s">
        <v>27</v>
      </c>
      <c r="F121" s="9" t="s">
        <v>27</v>
      </c>
      <c r="G121" s="9"/>
      <c r="H121" s="9"/>
      <c r="I121" s="8"/>
    </row>
    <row r="122" spans="1:9" x14ac:dyDescent="0.3">
      <c r="A122" s="20" t="s">
        <v>274</v>
      </c>
      <c r="B122" s="20" t="s">
        <v>280</v>
      </c>
      <c r="C122" s="8" t="s">
        <v>283</v>
      </c>
      <c r="D122" s="9" t="s">
        <v>284</v>
      </c>
      <c r="E122" s="9" t="s">
        <v>27</v>
      </c>
      <c r="F122" s="9" t="s">
        <v>27</v>
      </c>
      <c r="G122" s="9"/>
      <c r="H122" s="9"/>
      <c r="I122" s="8"/>
    </row>
    <row r="123" spans="1:9" x14ac:dyDescent="0.3">
      <c r="A123" s="20" t="s">
        <v>274</v>
      </c>
      <c r="B123" s="20" t="s">
        <v>280</v>
      </c>
      <c r="C123" s="8" t="s">
        <v>285</v>
      </c>
      <c r="D123" s="9" t="s">
        <v>286</v>
      </c>
      <c r="E123" s="9" t="s">
        <v>27</v>
      </c>
      <c r="F123" s="9" t="s">
        <v>27</v>
      </c>
      <c r="G123" s="9"/>
      <c r="H123" s="9"/>
      <c r="I123" s="8"/>
    </row>
    <row r="124" spans="1:9" x14ac:dyDescent="0.3">
      <c r="A124" s="20" t="s">
        <v>274</v>
      </c>
      <c r="B124" s="20" t="s">
        <v>280</v>
      </c>
      <c r="C124" s="8" t="s">
        <v>287</v>
      </c>
      <c r="D124" s="9" t="s">
        <v>288</v>
      </c>
      <c r="E124" s="9" t="s">
        <v>27</v>
      </c>
      <c r="F124" s="9" t="s">
        <v>27</v>
      </c>
      <c r="G124" s="9"/>
      <c r="H124" s="9"/>
      <c r="I124" s="8"/>
    </row>
    <row r="125" spans="1:9" x14ac:dyDescent="0.3">
      <c r="A125" s="20" t="s">
        <v>274</v>
      </c>
      <c r="B125" s="20" t="s">
        <v>280</v>
      </c>
      <c r="C125" s="8" t="s">
        <v>289</v>
      </c>
      <c r="D125" s="9" t="s">
        <v>290</v>
      </c>
      <c r="E125" s="9" t="s">
        <v>27</v>
      </c>
      <c r="F125" s="9" t="s">
        <v>27</v>
      </c>
      <c r="G125" s="9"/>
      <c r="H125" s="9"/>
      <c r="I125" s="8"/>
    </row>
    <row r="126" spans="1:9" x14ac:dyDescent="0.3">
      <c r="A126" s="20" t="s">
        <v>274</v>
      </c>
      <c r="B126" s="20" t="s">
        <v>280</v>
      </c>
      <c r="C126" s="8" t="s">
        <v>291</v>
      </c>
      <c r="D126" s="9" t="s">
        <v>292</v>
      </c>
      <c r="E126" s="9" t="s">
        <v>27</v>
      </c>
      <c r="F126" s="9" t="s">
        <v>27</v>
      </c>
      <c r="G126" s="9"/>
      <c r="H126" s="9"/>
      <c r="I126" s="8"/>
    </row>
    <row r="127" spans="1:9" x14ac:dyDescent="0.3">
      <c r="A127" s="20" t="s">
        <v>274</v>
      </c>
      <c r="B127" s="20" t="s">
        <v>280</v>
      </c>
      <c r="C127" s="8" t="s">
        <v>293</v>
      </c>
      <c r="D127" s="9" t="s">
        <v>294</v>
      </c>
      <c r="E127" s="9" t="s">
        <v>27</v>
      </c>
      <c r="F127" s="9" t="s">
        <v>27</v>
      </c>
      <c r="G127" s="9"/>
      <c r="H127" s="9"/>
      <c r="I127" s="8"/>
    </row>
    <row r="128" spans="1:9" x14ac:dyDescent="0.3">
      <c r="A128" s="20" t="s">
        <v>274</v>
      </c>
      <c r="B128" s="20" t="s">
        <v>280</v>
      </c>
      <c r="C128" s="8" t="s">
        <v>295</v>
      </c>
      <c r="D128" s="9" t="s">
        <v>296</v>
      </c>
      <c r="E128" s="9" t="s">
        <v>27</v>
      </c>
      <c r="F128" s="9" t="s">
        <v>27</v>
      </c>
      <c r="G128" s="9"/>
      <c r="H128" s="9"/>
      <c r="I128" s="8"/>
    </row>
    <row r="129" spans="1:9" x14ac:dyDescent="0.3">
      <c r="A129" s="20" t="s">
        <v>274</v>
      </c>
      <c r="B129" s="20" t="s">
        <v>297</v>
      </c>
      <c r="C129" s="8" t="s">
        <v>298</v>
      </c>
      <c r="D129" s="9" t="s">
        <v>299</v>
      </c>
      <c r="E129" s="9" t="s">
        <v>27</v>
      </c>
      <c r="F129" s="9" t="s">
        <v>27</v>
      </c>
      <c r="G129" s="9"/>
      <c r="H129" s="9"/>
      <c r="I129" s="8"/>
    </row>
    <row r="130" spans="1:9" x14ac:dyDescent="0.3">
      <c r="A130" s="20" t="s">
        <v>274</v>
      </c>
      <c r="B130" s="20" t="s">
        <v>297</v>
      </c>
      <c r="C130" s="8" t="s">
        <v>300</v>
      </c>
      <c r="D130" s="9" t="s">
        <v>301</v>
      </c>
      <c r="E130" s="9" t="s">
        <v>27</v>
      </c>
      <c r="F130" s="9" t="s">
        <v>27</v>
      </c>
      <c r="G130" s="9"/>
      <c r="H130" s="9"/>
      <c r="I130" s="8"/>
    </row>
    <row r="131" spans="1:9" x14ac:dyDescent="0.3">
      <c r="A131" s="20" t="s">
        <v>274</v>
      </c>
      <c r="B131" s="20" t="s">
        <v>297</v>
      </c>
      <c r="C131" s="8" t="s">
        <v>302</v>
      </c>
      <c r="D131" s="9" t="s">
        <v>303</v>
      </c>
      <c r="E131" s="9" t="s">
        <v>27</v>
      </c>
      <c r="F131" s="9" t="s">
        <v>27</v>
      </c>
      <c r="G131" s="9"/>
      <c r="H131" s="9"/>
      <c r="I131" s="8"/>
    </row>
    <row r="132" spans="1:9" x14ac:dyDescent="0.3">
      <c r="A132" s="20" t="s">
        <v>274</v>
      </c>
      <c r="B132" s="20" t="s">
        <v>297</v>
      </c>
      <c r="C132" s="8" t="s">
        <v>304</v>
      </c>
      <c r="D132" s="9" t="s">
        <v>305</v>
      </c>
      <c r="E132" s="9" t="s">
        <v>27</v>
      </c>
      <c r="F132" s="9" t="s">
        <v>27</v>
      </c>
      <c r="G132" s="9"/>
      <c r="H132" s="9"/>
      <c r="I132" s="8"/>
    </row>
    <row r="133" spans="1:9" x14ac:dyDescent="0.3">
      <c r="A133" s="20" t="s">
        <v>274</v>
      </c>
      <c r="B133" s="20" t="s">
        <v>297</v>
      </c>
      <c r="C133" s="8" t="s">
        <v>306</v>
      </c>
      <c r="D133" s="9" t="s">
        <v>307</v>
      </c>
      <c r="E133" s="9" t="s">
        <v>27</v>
      </c>
      <c r="F133" s="9" t="s">
        <v>27</v>
      </c>
      <c r="G133" s="9"/>
      <c r="H133" s="9"/>
      <c r="I133" s="8"/>
    </row>
    <row r="134" spans="1:9" x14ac:dyDescent="0.3">
      <c r="A134" s="20" t="s">
        <v>274</v>
      </c>
      <c r="B134" s="20" t="s">
        <v>297</v>
      </c>
      <c r="C134" s="8" t="s">
        <v>308</v>
      </c>
      <c r="D134" s="9" t="s">
        <v>309</v>
      </c>
      <c r="E134" s="9" t="s">
        <v>27</v>
      </c>
      <c r="F134" s="9" t="s">
        <v>27</v>
      </c>
      <c r="G134" s="9"/>
      <c r="H134" s="9"/>
      <c r="I134" s="8"/>
    </row>
    <row r="135" spans="1:9" x14ac:dyDescent="0.3">
      <c r="A135" s="20" t="s">
        <v>274</v>
      </c>
      <c r="B135" s="20" t="s">
        <v>310</v>
      </c>
      <c r="C135" s="8" t="s">
        <v>311</v>
      </c>
      <c r="D135" s="9" t="s">
        <v>312</v>
      </c>
      <c r="E135" s="9" t="s">
        <v>27</v>
      </c>
      <c r="F135" s="9" t="s">
        <v>27</v>
      </c>
      <c r="G135" s="9"/>
      <c r="H135" s="9"/>
      <c r="I135" s="8"/>
    </row>
    <row r="136" spans="1:9" x14ac:dyDescent="0.3">
      <c r="A136" s="20" t="s">
        <v>274</v>
      </c>
      <c r="B136" s="20" t="s">
        <v>310</v>
      </c>
      <c r="C136" s="8" t="s">
        <v>313</v>
      </c>
      <c r="D136" s="9" t="s">
        <v>314</v>
      </c>
      <c r="E136" s="9" t="s">
        <v>27</v>
      </c>
      <c r="F136" s="9" t="s">
        <v>27</v>
      </c>
      <c r="G136" s="9"/>
      <c r="H136" s="9"/>
      <c r="I136" s="8"/>
    </row>
    <row r="137" spans="1:9" x14ac:dyDescent="0.3">
      <c r="A137" s="20" t="s">
        <v>274</v>
      </c>
      <c r="B137" s="20" t="s">
        <v>315</v>
      </c>
      <c r="C137" s="8" t="s">
        <v>316</v>
      </c>
      <c r="D137" s="9" t="s">
        <v>317</v>
      </c>
      <c r="E137" s="9" t="s">
        <v>27</v>
      </c>
      <c r="F137" s="9" t="s">
        <v>27</v>
      </c>
      <c r="G137" s="9"/>
      <c r="H137" s="9"/>
      <c r="I137" s="8"/>
    </row>
    <row r="138" spans="1:9" x14ac:dyDescent="0.3">
      <c r="A138" s="20" t="s">
        <v>274</v>
      </c>
      <c r="B138" s="20" t="s">
        <v>315</v>
      </c>
      <c r="C138" s="8" t="s">
        <v>318</v>
      </c>
      <c r="D138" s="9" t="s">
        <v>319</v>
      </c>
      <c r="E138" s="9" t="s">
        <v>27</v>
      </c>
      <c r="F138" s="9" t="s">
        <v>27</v>
      </c>
      <c r="G138" s="9"/>
      <c r="H138" s="9"/>
      <c r="I138" s="8"/>
    </row>
    <row r="139" spans="1:9" x14ac:dyDescent="0.3">
      <c r="A139" s="20" t="s">
        <v>274</v>
      </c>
      <c r="B139" s="20" t="s">
        <v>315</v>
      </c>
      <c r="C139" s="8" t="s">
        <v>320</v>
      </c>
      <c r="D139" s="9" t="s">
        <v>321</v>
      </c>
      <c r="E139" s="9" t="s">
        <v>27</v>
      </c>
      <c r="F139" s="9" t="s">
        <v>27</v>
      </c>
      <c r="G139" s="9"/>
      <c r="H139" s="9"/>
      <c r="I139" s="8"/>
    </row>
    <row r="140" spans="1:9" x14ac:dyDescent="0.3">
      <c r="A140" s="20" t="s">
        <v>274</v>
      </c>
      <c r="B140" s="20" t="s">
        <v>322</v>
      </c>
      <c r="C140" s="8" t="s">
        <v>323</v>
      </c>
      <c r="D140" s="9" t="s">
        <v>324</v>
      </c>
      <c r="E140" s="9" t="s">
        <v>27</v>
      </c>
      <c r="F140" s="9" t="s">
        <v>27</v>
      </c>
      <c r="G140" s="9"/>
      <c r="H140" s="9"/>
      <c r="I140" s="8"/>
    </row>
    <row r="141" spans="1:9" x14ac:dyDescent="0.3">
      <c r="A141" s="20" t="s">
        <v>274</v>
      </c>
      <c r="B141" s="20" t="s">
        <v>322</v>
      </c>
      <c r="C141" s="8" t="s">
        <v>325</v>
      </c>
      <c r="D141" s="9" t="s">
        <v>326</v>
      </c>
      <c r="E141" s="9" t="s">
        <v>27</v>
      </c>
      <c r="F141" s="9" t="s">
        <v>27</v>
      </c>
      <c r="G141" s="9"/>
      <c r="H141" s="9"/>
      <c r="I141" s="8"/>
    </row>
    <row r="142" spans="1:9" x14ac:dyDescent="0.3">
      <c r="A142" s="20" t="s">
        <v>274</v>
      </c>
      <c r="B142" s="20" t="s">
        <v>322</v>
      </c>
      <c r="C142" s="8" t="s">
        <v>327</v>
      </c>
      <c r="D142" s="9" t="s">
        <v>328</v>
      </c>
      <c r="E142" s="9" t="s">
        <v>27</v>
      </c>
      <c r="F142" s="9" t="s">
        <v>27</v>
      </c>
      <c r="G142" s="9"/>
      <c r="H142" s="9"/>
      <c r="I142" s="8"/>
    </row>
    <row r="143" spans="1:9" ht="26.4" x14ac:dyDescent="0.3">
      <c r="A143" s="20" t="s">
        <v>274</v>
      </c>
      <c r="B143" s="20" t="s">
        <v>329</v>
      </c>
      <c r="C143" s="8" t="s">
        <v>330</v>
      </c>
      <c r="D143" s="9" t="s">
        <v>331</v>
      </c>
      <c r="E143" s="9" t="s">
        <v>27</v>
      </c>
      <c r="F143" s="9" t="s">
        <v>27</v>
      </c>
      <c r="G143" s="9"/>
      <c r="H143" s="9"/>
      <c r="I143" s="8"/>
    </row>
    <row r="144" spans="1:9" x14ac:dyDescent="0.3">
      <c r="A144" s="20" t="s">
        <v>274</v>
      </c>
      <c r="B144" s="20" t="s">
        <v>329</v>
      </c>
      <c r="C144" s="8" t="s">
        <v>332</v>
      </c>
      <c r="D144" s="9" t="s">
        <v>333</v>
      </c>
      <c r="E144" s="9" t="s">
        <v>27</v>
      </c>
      <c r="F144" s="9" t="s">
        <v>27</v>
      </c>
      <c r="G144" s="9"/>
      <c r="H144" s="9"/>
      <c r="I144" s="8"/>
    </row>
    <row r="145" spans="1:9" x14ac:dyDescent="0.3">
      <c r="A145" s="20" t="s">
        <v>274</v>
      </c>
      <c r="B145" s="20" t="s">
        <v>329</v>
      </c>
      <c r="C145" s="8" t="s">
        <v>334</v>
      </c>
      <c r="D145" s="9" t="s">
        <v>335</v>
      </c>
      <c r="E145" s="9" t="s">
        <v>27</v>
      </c>
      <c r="F145" s="9" t="s">
        <v>27</v>
      </c>
      <c r="G145" s="9"/>
      <c r="H145" s="9"/>
      <c r="I145" s="8"/>
    </row>
    <row r="146" spans="1:9" x14ac:dyDescent="0.3">
      <c r="A146" s="20" t="s">
        <v>274</v>
      </c>
      <c r="B146" s="20" t="s">
        <v>329</v>
      </c>
      <c r="C146" s="8" t="s">
        <v>336</v>
      </c>
      <c r="D146" s="9" t="s">
        <v>337</v>
      </c>
      <c r="E146" s="9" t="s">
        <v>27</v>
      </c>
      <c r="F146" s="9" t="s">
        <v>27</v>
      </c>
      <c r="G146" s="9"/>
      <c r="H146" s="9"/>
      <c r="I146" s="8"/>
    </row>
    <row r="147" spans="1:9" x14ac:dyDescent="0.3">
      <c r="A147" s="20" t="s">
        <v>274</v>
      </c>
      <c r="B147" s="20" t="s">
        <v>329</v>
      </c>
      <c r="C147" s="8" t="s">
        <v>338</v>
      </c>
      <c r="D147" s="9" t="s">
        <v>339</v>
      </c>
      <c r="E147" s="9" t="s">
        <v>27</v>
      </c>
      <c r="F147" s="9" t="s">
        <v>27</v>
      </c>
      <c r="G147" s="9"/>
      <c r="H147" s="9"/>
      <c r="I147" s="8"/>
    </row>
    <row r="148" spans="1:9" x14ac:dyDescent="0.3">
      <c r="A148" s="20" t="s">
        <v>274</v>
      </c>
      <c r="B148" s="20" t="s">
        <v>329</v>
      </c>
      <c r="C148" s="8" t="s">
        <v>340</v>
      </c>
      <c r="D148" s="9" t="s">
        <v>341</v>
      </c>
      <c r="E148" s="9" t="s">
        <v>27</v>
      </c>
      <c r="F148" s="9" t="s">
        <v>27</v>
      </c>
      <c r="G148" s="9"/>
      <c r="H148" s="9"/>
      <c r="I148" s="8"/>
    </row>
    <row r="149" spans="1:9" x14ac:dyDescent="0.3">
      <c r="A149" s="20" t="s">
        <v>274</v>
      </c>
      <c r="B149" s="20" t="s">
        <v>342</v>
      </c>
      <c r="C149" s="8" t="s">
        <v>343</v>
      </c>
      <c r="D149" s="9" t="s">
        <v>344</v>
      </c>
      <c r="E149" s="9" t="s">
        <v>27</v>
      </c>
      <c r="F149" s="9" t="s">
        <v>27</v>
      </c>
      <c r="G149" s="9"/>
      <c r="H149" s="9"/>
      <c r="I149" s="8"/>
    </row>
    <row r="150" spans="1:9" x14ac:dyDescent="0.3">
      <c r="A150" s="20" t="s">
        <v>274</v>
      </c>
      <c r="B150" s="20" t="s">
        <v>342</v>
      </c>
      <c r="C150" s="8" t="s">
        <v>345</v>
      </c>
      <c r="D150" s="9" t="s">
        <v>346</v>
      </c>
      <c r="E150" s="9" t="s">
        <v>27</v>
      </c>
      <c r="F150" s="9" t="s">
        <v>27</v>
      </c>
      <c r="G150" s="9"/>
      <c r="H150" s="9"/>
      <c r="I150" s="8"/>
    </row>
    <row r="151" spans="1:9" x14ac:dyDescent="0.3">
      <c r="A151" s="20" t="s">
        <v>274</v>
      </c>
      <c r="B151" s="20" t="s">
        <v>342</v>
      </c>
      <c r="C151" s="8" t="s">
        <v>347</v>
      </c>
      <c r="D151" s="9" t="s">
        <v>348</v>
      </c>
      <c r="E151" s="9" t="s">
        <v>27</v>
      </c>
      <c r="F151" s="9" t="s">
        <v>27</v>
      </c>
      <c r="G151" s="9"/>
      <c r="H151" s="9"/>
      <c r="I151" s="8"/>
    </row>
    <row r="152" spans="1:9" x14ac:dyDescent="0.3">
      <c r="A152" s="20" t="s">
        <v>274</v>
      </c>
      <c r="B152" s="20" t="s">
        <v>342</v>
      </c>
      <c r="C152" s="8" t="s">
        <v>349</v>
      </c>
      <c r="D152" s="9" t="s">
        <v>350</v>
      </c>
      <c r="E152" s="9" t="s">
        <v>27</v>
      </c>
      <c r="F152" s="9" t="s">
        <v>27</v>
      </c>
      <c r="G152" s="9"/>
      <c r="H152" s="9"/>
      <c r="I152" s="8"/>
    </row>
    <row r="153" spans="1:9" x14ac:dyDescent="0.3">
      <c r="A153" s="20" t="s">
        <v>274</v>
      </c>
      <c r="B153" s="20" t="s">
        <v>351</v>
      </c>
      <c r="C153" s="8" t="s">
        <v>352</v>
      </c>
      <c r="D153" s="9" t="s">
        <v>353</v>
      </c>
      <c r="E153" s="9" t="s">
        <v>27</v>
      </c>
      <c r="F153" s="9" t="s">
        <v>27</v>
      </c>
      <c r="G153" s="9"/>
      <c r="H153" s="9"/>
      <c r="I153" s="8"/>
    </row>
    <row r="154" spans="1:9" x14ac:dyDescent="0.3">
      <c r="A154" s="20" t="s">
        <v>274</v>
      </c>
      <c r="B154" s="20" t="s">
        <v>351</v>
      </c>
      <c r="C154" s="8" t="s">
        <v>354</v>
      </c>
      <c r="D154" s="9" t="s">
        <v>355</v>
      </c>
      <c r="E154" s="9" t="s">
        <v>27</v>
      </c>
      <c r="F154" s="9" t="s">
        <v>27</v>
      </c>
      <c r="G154" s="9"/>
      <c r="H154" s="9"/>
      <c r="I154" s="8"/>
    </row>
    <row r="155" spans="1:9" x14ac:dyDescent="0.3">
      <c r="A155" s="20" t="s">
        <v>274</v>
      </c>
      <c r="B155" s="20" t="s">
        <v>356</v>
      </c>
      <c r="C155" s="8" t="s">
        <v>357</v>
      </c>
      <c r="D155" s="9" t="s">
        <v>358</v>
      </c>
      <c r="E155" s="9" t="s">
        <v>27</v>
      </c>
      <c r="F155" s="9" t="s">
        <v>27</v>
      </c>
      <c r="G155" s="9"/>
      <c r="H155" s="9"/>
      <c r="I155" s="8"/>
    </row>
    <row r="156" spans="1:9" x14ac:dyDescent="0.3">
      <c r="A156" s="20" t="s">
        <v>274</v>
      </c>
      <c r="B156" s="20" t="s">
        <v>356</v>
      </c>
      <c r="C156" s="8" t="s">
        <v>359</v>
      </c>
      <c r="D156" s="9" t="s">
        <v>360</v>
      </c>
      <c r="E156" s="9" t="s">
        <v>27</v>
      </c>
      <c r="F156" s="9" t="s">
        <v>27</v>
      </c>
      <c r="G156" s="9"/>
      <c r="H156" s="9"/>
      <c r="I156" s="8"/>
    </row>
    <row r="157" spans="1:9" x14ac:dyDescent="0.3">
      <c r="A157" s="20" t="s">
        <v>274</v>
      </c>
      <c r="B157" s="20" t="s">
        <v>356</v>
      </c>
      <c r="C157" s="8" t="s">
        <v>361</v>
      </c>
      <c r="D157" s="9" t="s">
        <v>362</v>
      </c>
      <c r="E157" s="9" t="s">
        <v>27</v>
      </c>
      <c r="F157" s="9" t="s">
        <v>27</v>
      </c>
      <c r="G157" s="9"/>
      <c r="H157" s="9"/>
      <c r="I157" s="8"/>
    </row>
    <row r="158" spans="1:9" x14ac:dyDescent="0.3">
      <c r="A158" s="20" t="s">
        <v>274</v>
      </c>
      <c r="B158" s="20" t="s">
        <v>363</v>
      </c>
      <c r="C158" s="8" t="s">
        <v>364</v>
      </c>
      <c r="D158" s="9" t="s">
        <v>365</v>
      </c>
      <c r="E158" s="9" t="s">
        <v>27</v>
      </c>
      <c r="F158" s="9" t="s">
        <v>27</v>
      </c>
      <c r="G158" s="9"/>
      <c r="H158" s="9"/>
      <c r="I158" s="8"/>
    </row>
    <row r="159" spans="1:9" x14ac:dyDescent="0.3">
      <c r="A159" s="20" t="s">
        <v>274</v>
      </c>
      <c r="B159" s="20" t="s">
        <v>363</v>
      </c>
      <c r="C159" s="8" t="s">
        <v>366</v>
      </c>
      <c r="D159" s="9" t="s">
        <v>367</v>
      </c>
      <c r="E159" s="9" t="s">
        <v>27</v>
      </c>
      <c r="F159" s="9" t="s">
        <v>27</v>
      </c>
      <c r="G159" s="9"/>
      <c r="H159" s="9"/>
      <c r="I159" s="8"/>
    </row>
    <row r="160" spans="1:9" x14ac:dyDescent="0.3">
      <c r="A160" s="20" t="s">
        <v>274</v>
      </c>
      <c r="B160" s="20" t="s">
        <v>363</v>
      </c>
      <c r="C160" s="8" t="s">
        <v>368</v>
      </c>
      <c r="D160" s="9" t="s">
        <v>369</v>
      </c>
      <c r="E160" s="9" t="s">
        <v>27</v>
      </c>
      <c r="F160" s="9" t="s">
        <v>27</v>
      </c>
      <c r="G160" s="9"/>
      <c r="H160" s="9"/>
      <c r="I160" s="8"/>
    </row>
    <row r="161" spans="1:9" x14ac:dyDescent="0.3">
      <c r="A161" s="20" t="s">
        <v>274</v>
      </c>
      <c r="B161" s="20" t="s">
        <v>363</v>
      </c>
      <c r="C161" s="8" t="s">
        <v>370</v>
      </c>
      <c r="D161" s="9" t="s">
        <v>371</v>
      </c>
      <c r="E161" s="9" t="s">
        <v>27</v>
      </c>
      <c r="F161" s="9" t="s">
        <v>27</v>
      </c>
      <c r="G161" s="9"/>
      <c r="H161" s="9"/>
      <c r="I161" s="8"/>
    </row>
    <row r="162" spans="1:9" x14ac:dyDescent="0.3">
      <c r="A162" s="21" t="s">
        <v>372</v>
      </c>
      <c r="B162" s="21"/>
      <c r="C162" s="8" t="s">
        <v>373</v>
      </c>
      <c r="D162" s="9" t="s">
        <v>374</v>
      </c>
      <c r="E162" s="9" t="s">
        <v>27</v>
      </c>
      <c r="F162" s="9" t="s">
        <v>27</v>
      </c>
      <c r="G162" s="9"/>
      <c r="H162" s="9"/>
      <c r="I162" s="8"/>
    </row>
    <row r="163" spans="1:9" x14ac:dyDescent="0.3">
      <c r="A163" s="21" t="s">
        <v>372</v>
      </c>
      <c r="B163" s="21"/>
      <c r="C163" s="8" t="s">
        <v>375</v>
      </c>
      <c r="D163" s="9" t="s">
        <v>376</v>
      </c>
      <c r="E163" s="9" t="s">
        <v>27</v>
      </c>
      <c r="F163" s="9" t="s">
        <v>27</v>
      </c>
      <c r="G163" s="9"/>
      <c r="H163" s="9"/>
      <c r="I163" s="8"/>
    </row>
    <row r="164" spans="1:9" x14ac:dyDescent="0.3">
      <c r="A164" s="22" t="s">
        <v>377</v>
      </c>
      <c r="B164" s="22"/>
      <c r="C164" s="8" t="s">
        <v>378</v>
      </c>
      <c r="D164" s="9" t="s">
        <v>379</v>
      </c>
      <c r="E164" s="9" t="s">
        <v>27</v>
      </c>
      <c r="F164" s="9" t="s">
        <v>27</v>
      </c>
      <c r="G164" s="9"/>
      <c r="H164" s="9"/>
      <c r="I164" s="8"/>
    </row>
    <row r="165" spans="1:9" x14ac:dyDescent="0.3">
      <c r="A165" s="22" t="s">
        <v>377</v>
      </c>
      <c r="B165" s="22"/>
      <c r="C165" s="8" t="s">
        <v>380</v>
      </c>
      <c r="D165" s="9" t="s">
        <v>381</v>
      </c>
      <c r="E165" s="9" t="s">
        <v>27</v>
      </c>
      <c r="F165" s="9" t="s">
        <v>27</v>
      </c>
      <c r="G165" s="9"/>
      <c r="H165" s="9"/>
      <c r="I165" s="8"/>
    </row>
    <row r="166" spans="1:9" x14ac:dyDescent="0.3">
      <c r="A166" s="22" t="s">
        <v>377</v>
      </c>
      <c r="B166" s="22"/>
      <c r="C166" s="8"/>
      <c r="D166" s="9" t="s">
        <v>382</v>
      </c>
      <c r="E166" s="9" t="s">
        <v>27</v>
      </c>
      <c r="F166" s="9" t="s">
        <v>27</v>
      </c>
      <c r="G166" s="9"/>
      <c r="H166" s="9"/>
      <c r="I166" s="8"/>
    </row>
    <row r="167" spans="1:9" x14ac:dyDescent="0.3">
      <c r="A167" s="22" t="s">
        <v>377</v>
      </c>
      <c r="B167" s="22"/>
      <c r="C167" s="8"/>
      <c r="D167" s="9" t="s">
        <v>383</v>
      </c>
      <c r="E167" s="9" t="s">
        <v>27</v>
      </c>
      <c r="F167" s="9" t="s">
        <v>27</v>
      </c>
      <c r="G167" s="9"/>
      <c r="H167" s="9"/>
      <c r="I167" s="8"/>
    </row>
    <row r="168" spans="1:9" x14ac:dyDescent="0.3">
      <c r="A168" s="22" t="s">
        <v>377</v>
      </c>
      <c r="B168" s="22"/>
      <c r="C168" s="8" t="s">
        <v>384</v>
      </c>
      <c r="D168" s="9" t="s">
        <v>385</v>
      </c>
      <c r="E168" s="9" t="s">
        <v>27</v>
      </c>
      <c r="F168" s="9" t="s">
        <v>27</v>
      </c>
      <c r="G168" s="9"/>
      <c r="H168" s="9"/>
      <c r="I168" s="8"/>
    </row>
    <row r="169" spans="1:9" x14ac:dyDescent="0.3">
      <c r="A169" s="22" t="s">
        <v>377</v>
      </c>
      <c r="B169" s="22"/>
      <c r="C169" s="8" t="s">
        <v>386</v>
      </c>
      <c r="D169" s="9" t="s">
        <v>387</v>
      </c>
      <c r="E169" s="9" t="s">
        <v>27</v>
      </c>
      <c r="F169" s="9" t="s">
        <v>27</v>
      </c>
      <c r="G169" s="9"/>
      <c r="H169" s="9"/>
      <c r="I169" s="8"/>
    </row>
    <row r="170" spans="1:9" x14ac:dyDescent="0.3">
      <c r="A170" s="22" t="s">
        <v>377</v>
      </c>
      <c r="B170" s="22"/>
      <c r="C170" s="8" t="s">
        <v>388</v>
      </c>
      <c r="D170" s="9" t="s">
        <v>389</v>
      </c>
      <c r="E170" s="9" t="s">
        <v>27</v>
      </c>
      <c r="F170" s="9" t="s">
        <v>27</v>
      </c>
      <c r="G170" s="9"/>
      <c r="H170" s="9"/>
      <c r="I170" s="8"/>
    </row>
  </sheetData>
  <autoFilter ref="A1:I170" xr:uid="{00000000-0009-0000-0000-000001000000}"/>
  <dataValidations count="1">
    <dataValidation type="list" allowBlank="1" sqref="E2:F170" xr:uid="{00000000-0002-0000-0100-000000000000}">
      <formula1>"À tester,Oui,Non,Partiel"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"/>
  <sheetViews>
    <sheetView zoomScaleNormal="100" workbookViewId="0">
      <selection sqref="A1:F1"/>
    </sheetView>
  </sheetViews>
  <sheetFormatPr baseColWidth="10" defaultColWidth="8.5546875" defaultRowHeight="14.4" x14ac:dyDescent="0.3"/>
  <cols>
    <col min="1" max="1" width="22" customWidth="1"/>
    <col min="2" max="2" width="16" customWidth="1"/>
    <col min="3" max="3" width="20" customWidth="1"/>
    <col min="4" max="4" width="24" customWidth="1"/>
    <col min="5" max="5" width="20" customWidth="1"/>
    <col min="6" max="6" width="24" customWidth="1"/>
  </cols>
  <sheetData>
    <row r="1" spans="1:6" ht="17.399999999999999" x14ac:dyDescent="0.3">
      <c r="A1" s="28" t="s">
        <v>390</v>
      </c>
      <c r="B1" s="28"/>
      <c r="C1" s="28"/>
      <c r="D1" s="28"/>
      <c r="E1" s="28"/>
      <c r="F1" s="28"/>
    </row>
    <row r="3" spans="1:6" ht="27.6" x14ac:dyDescent="0.3">
      <c r="A3" s="6" t="s">
        <v>11</v>
      </c>
      <c r="B3" s="6" t="s">
        <v>391</v>
      </c>
      <c r="C3" s="6" t="s">
        <v>392</v>
      </c>
      <c r="D3" s="6" t="s">
        <v>393</v>
      </c>
      <c r="E3" s="6" t="s">
        <v>394</v>
      </c>
      <c r="F3" s="6" t="s">
        <v>395</v>
      </c>
    </row>
    <row r="4" spans="1:6" x14ac:dyDescent="0.3">
      <c r="A4" s="23" t="s">
        <v>20</v>
      </c>
      <c r="B4" s="24">
        <f>COUNTIF(Blocs!$A$2:$A$170,A4)</f>
        <v>5</v>
      </c>
      <c r="C4" s="24">
        <f>COUNTIFS(Blocs!$A$2:$A$170,A4,Blocs!$E$2:$E$170,"&lt;&gt;À tester")</f>
        <v>3</v>
      </c>
      <c r="D4" s="24">
        <f>COUNTIFS(Blocs!$A$2:$A$170,A4,Blocs!$E$2:$E$170,"Oui")</f>
        <v>3</v>
      </c>
      <c r="E4" s="24">
        <f>COUNTIFS(Blocs!$A$2:$A$170,A4,Blocs!$F$2:$F$170,"&lt;&gt;À tester")</f>
        <v>3</v>
      </c>
      <c r="F4" s="24">
        <f>COUNTIFS(Blocs!$A$2:$A$170,A4,Blocs!$F$2:$F$170,"Oui")</f>
        <v>3</v>
      </c>
    </row>
    <row r="5" spans="1:6" x14ac:dyDescent="0.3">
      <c r="A5" s="23" t="s">
        <v>36</v>
      </c>
      <c r="B5" s="24">
        <f>COUNTIF(Blocs!$A$2:$A$170,A5)</f>
        <v>5</v>
      </c>
      <c r="C5" s="24">
        <f>COUNTIFS(Blocs!$A$2:$A$170,A5,Blocs!$E$2:$E$170,"&lt;&gt;À tester")</f>
        <v>5</v>
      </c>
      <c r="D5" s="24">
        <f>COUNTIFS(Blocs!$A$2:$A$170,A5,Blocs!$E$2:$E$170,"Oui")</f>
        <v>5</v>
      </c>
      <c r="E5" s="24">
        <f>COUNTIFS(Blocs!$A$2:$A$170,A5,Blocs!$F$2:$F$170,"&lt;&gt;À tester")</f>
        <v>5</v>
      </c>
      <c r="F5" s="24">
        <f>COUNTIFS(Blocs!$A$2:$A$170,A5,Blocs!$F$2:$F$170,"Oui")</f>
        <v>5</v>
      </c>
    </row>
    <row r="6" spans="1:6" x14ac:dyDescent="0.3">
      <c r="A6" s="23" t="s">
        <v>47</v>
      </c>
      <c r="B6" s="24">
        <f>COUNTIF(Blocs!$A$2:$A$170,A6)</f>
        <v>7</v>
      </c>
      <c r="C6" s="24">
        <f>COUNTIFS(Blocs!$A$2:$A$170,A6,Blocs!$E$2:$E$170,"&lt;&gt;À tester")</f>
        <v>7</v>
      </c>
      <c r="D6" s="24">
        <f>COUNTIFS(Blocs!$A$2:$A$170,A6,Blocs!$E$2:$E$170,"Oui")</f>
        <v>7</v>
      </c>
      <c r="E6" s="24">
        <f>COUNTIFS(Blocs!$A$2:$A$170,A6,Blocs!$F$2:$F$170,"&lt;&gt;À tester")</f>
        <v>7</v>
      </c>
      <c r="F6" s="24">
        <f>COUNTIFS(Blocs!$A$2:$A$170,A6,Blocs!$F$2:$F$170,"Oui")</f>
        <v>7</v>
      </c>
    </row>
    <row r="7" spans="1:6" x14ac:dyDescent="0.3">
      <c r="A7" s="23" t="s">
        <v>62</v>
      </c>
      <c r="B7" s="24">
        <f>COUNTIF(Blocs!$A$2:$A$170,A7)</f>
        <v>18</v>
      </c>
      <c r="C7" s="24">
        <f>COUNTIFS(Blocs!$A$2:$A$170,A7,Blocs!$E$2:$E$170,"&lt;&gt;À tester")</f>
        <v>0</v>
      </c>
      <c r="D7" s="24">
        <f>COUNTIFS(Blocs!$A$2:$A$170,A7,Blocs!$E$2:$E$170,"Oui")</f>
        <v>0</v>
      </c>
      <c r="E7" s="24">
        <f>COUNTIFS(Blocs!$A$2:$A$170,A7,Blocs!$F$2:$F$170,"&lt;&gt;À tester")</f>
        <v>0</v>
      </c>
      <c r="F7" s="24">
        <f>COUNTIFS(Blocs!$A$2:$A$170,A7,Blocs!$F$2:$F$170,"Oui")</f>
        <v>0</v>
      </c>
    </row>
    <row r="8" spans="1:6" x14ac:dyDescent="0.3">
      <c r="A8" s="23" t="s">
        <v>99</v>
      </c>
      <c r="B8" s="24">
        <f>COUNTIF(Blocs!$A$2:$A$170,A8)</f>
        <v>4</v>
      </c>
      <c r="C8" s="24">
        <f>COUNTIFS(Blocs!$A$2:$A$170,A8,Blocs!$E$2:$E$170,"&lt;&gt;À tester")</f>
        <v>0</v>
      </c>
      <c r="D8" s="24">
        <f>COUNTIFS(Blocs!$A$2:$A$170,A8,Blocs!$E$2:$E$170,"Oui")</f>
        <v>0</v>
      </c>
      <c r="E8" s="24">
        <f>COUNTIFS(Blocs!$A$2:$A$170,A8,Blocs!$F$2:$F$170,"&lt;&gt;À tester")</f>
        <v>0</v>
      </c>
      <c r="F8" s="24">
        <f>COUNTIFS(Blocs!$A$2:$A$170,A8,Blocs!$F$2:$F$170,"Oui")</f>
        <v>0</v>
      </c>
    </row>
    <row r="9" spans="1:6" x14ac:dyDescent="0.3">
      <c r="A9" s="23" t="s">
        <v>108</v>
      </c>
      <c r="B9" s="24">
        <f>COUNTIF(Blocs!$A$2:$A$170,A9)</f>
        <v>9</v>
      </c>
      <c r="C9" s="24">
        <f>COUNTIFS(Blocs!$A$2:$A$170,A9,Blocs!$E$2:$E$170,"&lt;&gt;À tester")</f>
        <v>0</v>
      </c>
      <c r="D9" s="24">
        <f>COUNTIFS(Blocs!$A$2:$A$170,A9,Blocs!$E$2:$E$170,"Oui")</f>
        <v>0</v>
      </c>
      <c r="E9" s="24">
        <f>COUNTIFS(Blocs!$A$2:$A$170,A9,Blocs!$F$2:$F$170,"&lt;&gt;À tester")</f>
        <v>0</v>
      </c>
      <c r="F9" s="24">
        <f>COUNTIFS(Blocs!$A$2:$A$170,A9,Blocs!$F$2:$F$170,"Oui")</f>
        <v>0</v>
      </c>
    </row>
    <row r="10" spans="1:6" x14ac:dyDescent="0.3">
      <c r="A10" s="23" t="s">
        <v>131</v>
      </c>
      <c r="B10" s="24">
        <f>COUNTIF(Blocs!$A$2:$A$170,A10)</f>
        <v>6</v>
      </c>
      <c r="C10" s="24">
        <f>COUNTIFS(Blocs!$A$2:$A$170,A10,Blocs!$E$2:$E$170,"&lt;&gt;À tester")</f>
        <v>0</v>
      </c>
      <c r="D10" s="24">
        <f>COUNTIFS(Blocs!$A$2:$A$170,A10,Blocs!$E$2:$E$170,"Oui")</f>
        <v>0</v>
      </c>
      <c r="E10" s="24">
        <f>COUNTIFS(Blocs!$A$2:$A$170,A10,Blocs!$F$2:$F$170,"&lt;&gt;À tester")</f>
        <v>0</v>
      </c>
      <c r="F10" s="24">
        <f>COUNTIFS(Blocs!$A$2:$A$170,A10,Blocs!$F$2:$F$170,"Oui")</f>
        <v>0</v>
      </c>
    </row>
    <row r="11" spans="1:6" x14ac:dyDescent="0.3">
      <c r="A11" s="23" t="s">
        <v>144</v>
      </c>
      <c r="B11" s="24">
        <f>COUNTIF(Blocs!$A$2:$A$170,A11)</f>
        <v>27</v>
      </c>
      <c r="C11" s="24">
        <f>COUNTIFS(Blocs!$A$2:$A$170,A11,Blocs!$E$2:$E$170,"&lt;&gt;À tester")</f>
        <v>0</v>
      </c>
      <c r="D11" s="24">
        <f>COUNTIFS(Blocs!$A$2:$A$170,A11,Blocs!$E$2:$E$170,"Oui")</f>
        <v>0</v>
      </c>
      <c r="E11" s="24">
        <f>COUNTIFS(Blocs!$A$2:$A$170,A11,Blocs!$F$2:$F$170,"&lt;&gt;À tester")</f>
        <v>0</v>
      </c>
      <c r="F11" s="24">
        <f>COUNTIFS(Blocs!$A$2:$A$170,A11,Blocs!$F$2:$F$170,"Oui")</f>
        <v>0</v>
      </c>
    </row>
    <row r="12" spans="1:6" x14ac:dyDescent="0.3">
      <c r="A12" s="23" t="s">
        <v>199</v>
      </c>
      <c r="B12" s="24">
        <f>COUNTIF(Blocs!$A$2:$A$170,A12)</f>
        <v>7</v>
      </c>
      <c r="C12" s="24">
        <f>COUNTIFS(Blocs!$A$2:$A$170,A12,Blocs!$E$2:$E$170,"&lt;&gt;À tester")</f>
        <v>0</v>
      </c>
      <c r="D12" s="24">
        <f>COUNTIFS(Blocs!$A$2:$A$170,A12,Blocs!$E$2:$E$170,"Oui")</f>
        <v>0</v>
      </c>
      <c r="E12" s="24">
        <f>COUNTIFS(Blocs!$A$2:$A$170,A12,Blocs!$F$2:$F$170,"&lt;&gt;À tester")</f>
        <v>0</v>
      </c>
      <c r="F12" s="24">
        <f>COUNTIFS(Blocs!$A$2:$A$170,A12,Blocs!$F$2:$F$170,"Oui")</f>
        <v>0</v>
      </c>
    </row>
    <row r="13" spans="1:6" x14ac:dyDescent="0.3">
      <c r="A13" s="23" t="s">
        <v>214</v>
      </c>
      <c r="B13" s="24">
        <f>COUNTIF(Blocs!$A$2:$A$170,A13)</f>
        <v>21</v>
      </c>
      <c r="C13" s="24">
        <f>COUNTIFS(Blocs!$A$2:$A$170,A13,Blocs!$E$2:$E$170,"&lt;&gt;À tester")</f>
        <v>0</v>
      </c>
      <c r="D13" s="24">
        <f>COUNTIFS(Blocs!$A$2:$A$170,A13,Blocs!$E$2:$E$170,"Oui")</f>
        <v>0</v>
      </c>
      <c r="E13" s="24">
        <f>COUNTIFS(Blocs!$A$2:$A$170,A13,Blocs!$F$2:$F$170,"&lt;&gt;À tester")</f>
        <v>0</v>
      </c>
      <c r="F13" s="24">
        <f>COUNTIFS(Blocs!$A$2:$A$170,A13,Blocs!$F$2:$F$170,"Oui")</f>
        <v>0</v>
      </c>
    </row>
    <row r="14" spans="1:6" x14ac:dyDescent="0.3">
      <c r="A14" s="23" t="s">
        <v>257</v>
      </c>
      <c r="B14" s="24">
        <f>COUNTIF(Blocs!$A$2:$A$170,A14)</f>
        <v>8</v>
      </c>
      <c r="C14" s="24">
        <f>COUNTIFS(Blocs!$A$2:$A$170,A14,Blocs!$E$2:$E$170,"&lt;&gt;À tester")</f>
        <v>0</v>
      </c>
      <c r="D14" s="24">
        <f>COUNTIFS(Blocs!$A$2:$A$170,A14,Blocs!$E$2:$E$170,"Oui")</f>
        <v>0</v>
      </c>
      <c r="E14" s="24">
        <f>COUNTIFS(Blocs!$A$2:$A$170,A14,Blocs!$F$2:$F$170,"&lt;&gt;À tester")</f>
        <v>0</v>
      </c>
      <c r="F14" s="24">
        <f>COUNTIFS(Blocs!$A$2:$A$170,A14,Blocs!$F$2:$F$170,"Oui")</f>
        <v>0</v>
      </c>
    </row>
    <row r="15" spans="1:6" x14ac:dyDescent="0.3">
      <c r="A15" s="23" t="s">
        <v>274</v>
      </c>
      <c r="B15" s="24">
        <f>COUNTIF(Blocs!$A$2:$A$170,A15)</f>
        <v>43</v>
      </c>
      <c r="C15" s="24">
        <f>COUNTIFS(Blocs!$A$2:$A$170,A15,Blocs!$E$2:$E$170,"&lt;&gt;À tester")</f>
        <v>0</v>
      </c>
      <c r="D15" s="24">
        <f>COUNTIFS(Blocs!$A$2:$A$170,A15,Blocs!$E$2:$E$170,"Oui")</f>
        <v>0</v>
      </c>
      <c r="E15" s="24">
        <f>COUNTIFS(Blocs!$A$2:$A$170,A15,Blocs!$F$2:$F$170,"&lt;&gt;À tester")</f>
        <v>0</v>
      </c>
      <c r="F15" s="24">
        <f>COUNTIFS(Blocs!$A$2:$A$170,A15,Blocs!$F$2:$F$170,"Oui")</f>
        <v>0</v>
      </c>
    </row>
    <row r="16" spans="1:6" x14ac:dyDescent="0.3">
      <c r="A16" s="23" t="s">
        <v>372</v>
      </c>
      <c r="B16" s="24">
        <f>COUNTIF(Blocs!$A$2:$A$170,A16)</f>
        <v>2</v>
      </c>
      <c r="C16" s="24">
        <f>COUNTIFS(Blocs!$A$2:$A$170,A16,Blocs!$E$2:$E$170,"&lt;&gt;À tester")</f>
        <v>0</v>
      </c>
      <c r="D16" s="24">
        <f>COUNTIFS(Blocs!$A$2:$A$170,A16,Blocs!$E$2:$E$170,"Oui")</f>
        <v>0</v>
      </c>
      <c r="E16" s="24">
        <f>COUNTIFS(Blocs!$A$2:$A$170,A16,Blocs!$F$2:$F$170,"&lt;&gt;À tester")</f>
        <v>0</v>
      </c>
      <c r="F16" s="24">
        <f>COUNTIFS(Blocs!$A$2:$A$170,A16,Blocs!$F$2:$F$170,"Oui")</f>
        <v>0</v>
      </c>
    </row>
    <row r="17" spans="1:6" x14ac:dyDescent="0.3">
      <c r="A17" s="23" t="s">
        <v>377</v>
      </c>
      <c r="B17" s="24">
        <f>COUNTIF(Blocs!$A$2:$A$170,A17)</f>
        <v>7</v>
      </c>
      <c r="C17" s="24">
        <f>COUNTIFS(Blocs!$A$2:$A$170,A17,Blocs!$E$2:$E$170,"&lt;&gt;À tester")</f>
        <v>0</v>
      </c>
      <c r="D17" s="24">
        <f>COUNTIFS(Blocs!$A$2:$A$170,A17,Blocs!$E$2:$E$170,"Oui")</f>
        <v>0</v>
      </c>
      <c r="E17" s="24">
        <f>COUNTIFS(Blocs!$A$2:$A$170,A17,Blocs!$F$2:$F$170,"&lt;&gt;À tester")</f>
        <v>0</v>
      </c>
      <c r="F17" s="24">
        <f>COUNTIFS(Blocs!$A$2:$A$170,A17,Blocs!$F$2:$F$170,"Oui")</f>
        <v>0</v>
      </c>
    </row>
    <row r="18" spans="1:6" x14ac:dyDescent="0.3">
      <c r="A18" s="25" t="s">
        <v>396</v>
      </c>
      <c r="B18" s="26">
        <f>SUM(B4:B17)</f>
        <v>169</v>
      </c>
      <c r="C18" s="26">
        <f>SUM(C4:C17)</f>
        <v>15</v>
      </c>
      <c r="D18" s="26">
        <f>SUM(D4:D17)</f>
        <v>15</v>
      </c>
      <c r="E18" s="26">
        <f>SUM(E4:E17)</f>
        <v>15</v>
      </c>
      <c r="F18" s="26">
        <f>SUM(F4:F17)</f>
        <v>15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Instructions</vt:lpstr>
      <vt:lpstr>Blocs</vt:lpstr>
      <vt:lpstr>Résumé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jean reynaud</cp:lastModifiedBy>
  <cp:revision>0</cp:revision>
  <dcterms:created xsi:type="dcterms:W3CDTF">2026-09-24T14:29:05Z</dcterms:created>
  <dcterms:modified xsi:type="dcterms:W3CDTF">2026-09-28T09:50:30Z</dcterms:modified>
  <dc:language>fr-FR</dc:language>
</cp:coreProperties>
</file>